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Dashboard" sheetId="2" state="visible" r:id="rId2"/>
    <sheet name="Investment Income Snapshots" sheetId="3" state="visible" r:id="rId3"/>
    <sheet name="Wage Snapshots" sheetId="4" state="visible" r:id="rId4"/>
    <sheet name="Tax Constants" sheetId="5" state="visible" r:id="rId5"/>
  </sheets>
  <definedNames/>
  <calcPr calcId="124519" fullCalcOnLoad="1"/>
</workbook>
</file>

<file path=xl/styles.xml><?xml version="1.0" encoding="utf-8"?>
<styleSheet xmlns="http://schemas.openxmlformats.org/spreadsheetml/2006/main">
  <numFmts count="2">
    <numFmt numFmtId="164" formatCode="&quot;$&quot;#,##0.00"/>
    <numFmt numFmtId="165" formatCode="mm/dd/yyyy"/>
  </numFmts>
  <fonts count="4">
    <font>
      <name val="Calibri"/>
      <family val="2"/>
      <color theme="1"/>
      <sz val="11"/>
      <scheme val="minor"/>
    </font>
    <font>
      <b val="1"/>
      <color rgb="00FFFFFF"/>
      <sz val="11"/>
    </font>
    <font>
      <b val="1"/>
    </font>
    <font>
      <b val="1"/>
      <color rgb="00FF0000"/>
    </font>
  </fonts>
  <fills count="5">
    <fill>
      <patternFill/>
    </fill>
    <fill>
      <patternFill patternType="gray125"/>
    </fill>
    <fill>
      <patternFill patternType="solid">
        <fgColor rgb="002F75B5"/>
        <bgColor rgb="002F75B5"/>
      </patternFill>
    </fill>
    <fill>
      <patternFill patternType="solid">
        <fgColor rgb="00FFF2CC"/>
        <bgColor rgb="00FFF2CC"/>
      </patternFill>
    </fill>
    <fill>
      <patternFill patternType="solid">
        <fgColor rgb="00DDEBF7"/>
        <bgColor rgb="00DDEBF7"/>
      </patternFill>
    </fill>
  </fills>
  <borders count="1">
    <border>
      <left/>
      <right/>
      <top/>
      <bottom/>
      <diagonal/>
    </border>
  </borders>
  <cellStyleXfs count="1">
    <xf numFmtId="0" fontId="0" fillId="0" borderId="0"/>
  </cellStyleXfs>
  <cellXfs count="17">
    <xf numFmtId="0" fontId="0" fillId="0" borderId="0" pivotButton="0" quotePrefix="0" xfId="0"/>
    <xf numFmtId="0" fontId="1" fillId="2" borderId="0" pivotButton="0" quotePrefix="0" xfId="0"/>
    <xf numFmtId="0" fontId="2" fillId="0" borderId="0" pivotButton="0" quotePrefix="0" xfId="0"/>
    <xf numFmtId="0" fontId="0" fillId="3" borderId="0" pivotButton="0" quotePrefix="0" xfId="0"/>
    <xf numFmtId="0" fontId="3" fillId="4" borderId="0" pivotButton="0" quotePrefix="0" xfId="0"/>
    <xf numFmtId="164" fontId="3" fillId="4" borderId="0" pivotButton="0" quotePrefix="0" xfId="0"/>
    <xf numFmtId="165" fontId="2" fillId="3" borderId="0" pivotButton="0" quotePrefix="0" xfId="0"/>
    <xf numFmtId="164" fontId="2" fillId="3" borderId="0" pivotButton="0" quotePrefix="0" xfId="0"/>
    <xf numFmtId="0" fontId="2" fillId="3" borderId="0" pivotButton="0" quotePrefix="0" xfId="0"/>
    <xf numFmtId="0" fontId="2" fillId="4" borderId="0" pivotButton="0" quotePrefix="0" xfId="0"/>
    <xf numFmtId="0" fontId="0" fillId="4" borderId="0" pivotButton="0" quotePrefix="0" xfId="0"/>
    <xf numFmtId="164" fontId="0" fillId="3" borderId="0" pivotButton="0" quotePrefix="0" xfId="0"/>
    <xf numFmtId="164" fontId="0" fillId="4" borderId="0" pivotButton="0" quotePrefix="0" xfId="0"/>
    <xf numFmtId="165" fontId="0" fillId="3" borderId="0" pivotButton="0" quotePrefix="0" xfId="0"/>
    <xf numFmtId="10" fontId="0" fillId="3" borderId="0" pivotButton="0" quotePrefix="0" xfId="0"/>
    <xf numFmtId="164" fontId="0" fillId="0" borderId="0" pivotButton="0" quotePrefix="0" xfId="0"/>
    <xf numFmtId="1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Ross Wait</author>
  </authors>
  <commentList>
    <comment ref="D1" authorId="0" shapeId="0">
      <text>
        <t>Record your quarterly estimated tax payments made directly to the IRS or FTB here. This is the primary source of truth for tracking payments made outside of payroll withholding.</t>
      </text>
    </comment>
    <comment ref="I1" authorId="0" shapeId="0">
      <text>
        <t>The high-visibility focal point for immediate tax obligations. Values here update automatically based on today's date and your entered payments.</t>
      </text>
    </comment>
    <comment ref="E2" authorId="0" shapeId="0">
      <text>
        <t>MANUAL ENTRY. This field is not auto-populated. It is provided as a convenience for you to manually log what the system recommended at the time of your payment for your records.</t>
      </text>
    </comment>
    <comment ref="F2" authorId="0" shapeId="0">
      <text>
        <t>ENTER PAYMENTS HERE. This field is REQUIRED to accurately calculate your 'DUE NOW' totals in the Action Center. This ensures the system recognizes your progress and doesn't double-count required taxes.</t>
      </text>
    </comment>
    <comment ref="G2" authorId="0" shapeId="0">
      <text>
        <t>Track payment confirmation numbers, specific quarterly intent, or voucher details here.</t>
      </text>
    </comment>
    <comment ref="B4" authorId="0" shapeId="0">
      <text>
        <t>Enter your total tax from last year's Federal Form 1040 (typically Line 24 minus Line 19).</t>
      </text>
    </comment>
    <comment ref="B5" authorId="0" shapeId="0">
      <text>
        <t>Enter your total tax from last year's California Form 540.</t>
      </text>
    </comment>
    <comment ref="B12" authorId="0" shapeId="0">
      <text>
        <t>Adjust total income for one-off events like bonuses or unpaid leave that aren't recurring in your payroll snapshots.</t>
      </text>
    </comment>
    <comment ref="B13" authorId="0" shapeId="0">
      <text>
        <t>1.0 = normal earnings. Use &lt; 1.0 if you expect to stop working. Use &gt; 1.0 if you expect a year-end windfall.</t>
      </text>
    </comment>
    <comment ref="I15" authorId="0" shapeId="0">
      <text>
        <t>A real-time health check on your tax situation. Verify your Effective Rates and Brackets to ensure the model matches your expectations.</t>
      </text>
    </comment>
    <comment ref="I16" authorId="0" shapeId="0">
      <text>
        <t>Specifies if the system is currently targeting 110% of last year's tax (Safe Harbor) or 90% of your current forecast (Forecast), prioritizing the lower baseline for your safety.</t>
      </text>
    </comment>
    <comment ref="I18" authorId="0" shapeId="0">
      <text>
        <t>Total projected Federal Tax divided by Federal AGI. (Standardized against Federal AGI for comparability).</t>
      </text>
    </comment>
    <comment ref="I19" authorId="0" shapeId="0">
      <text>
        <t>Total projected California Tax divided by Federal AGI. (Standardized against Federal AGI for comparability).</t>
      </text>
    </comment>
    <comment ref="I21" authorId="0" shapeId="0">
      <text>
        <t>The highest tax rate applied to your last dollar of California income.</t>
      </text>
    </comment>
    <comment ref="I26" authorId="0" shapeId="0">
      <text>
        <t>Alerts you if your latest snapshot is more than 30 days old. Keeping this current ensures accurately pro-rated future predictions.</t>
      </text>
    </comment>
    <comment ref="I27" authorId="0" shapeId="0">
      <text>
        <t>Critical for Safe Harbor targeting. Warns you if your prior-year tax liability is missing from the Configuration section (B4/B5).</t>
      </text>
    </comment>
    <comment ref="I28" authorId="0" shapeId="0">
      <text>
        <t>HSA Verification: Checks that HSA contributions are added back to California income. If you do not have an HSA, this will simply confirm 'No HSA Detected'.</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28" customWidth="1" min="1" max="1"/>
  </cols>
  <sheetData>
    <row r="1">
      <c r="A1" s="1" t="inlineStr">
        <is>
          <t>Quick Start Guide</t>
        </is>
      </c>
    </row>
    <row r="2">
      <c r="A2" t="inlineStr"/>
    </row>
    <row r="3">
      <c r="A3" t="inlineStr">
        <is>
          <t>Step 1: Enter your latest YTD paystub details in the 'Wage Snapshots' tab.</t>
        </is>
      </c>
    </row>
    <row r="4">
      <c r="A4" t="inlineStr">
        <is>
          <t>Step 2: Enter your latest YTD brokerage totals in 'Investment Income Snapshots'.</t>
        </is>
      </c>
    </row>
    <row r="5">
      <c r="A5" t="inlineStr">
        <is>
          <t>Step 3: Enter your 'Prior Year Tax' liability in the Dashboard to enable Safe Harbor targets.</t>
        </is>
      </c>
    </row>
    <row r="6">
      <c r="A6" t="inlineStr">
        <is>
          <t>Step 4: Check the 'PAYMENT ACTION CENTER' on the Dashboard for immediate payment requirements.</t>
        </is>
      </c>
    </row>
    <row r="7">
      <c r="A7" t="inlineStr"/>
    </row>
    <row r="8">
      <c r="A8" s="1" t="inlineStr">
        <is>
          <t>Important Notes</t>
        </is>
      </c>
    </row>
    <row r="9">
      <c r="A9" t="inlineStr">
        <is>
          <t>1. Investment Income: All dividends and interest are combined and taxed as Ordinary Income for a safe, conservative projection.</t>
        </is>
      </c>
    </row>
    <row r="10">
      <c r="A10" t="inlineStr">
        <is>
          <t>2. HSA (California): HSA contributions are automatically added back to CA state income as they are not deductible in California.</t>
        </is>
      </c>
    </row>
    <row r="11">
      <c r="A11" t="inlineStr">
        <is>
          <t>3. Income Projections: The engine pro-rates your remaining annual income based on the days elapsed since Jan 1. You can adjust these projections by entering values into 'Manual Income Offset' or 'Future Income Weight' in Section 1.5 of the Dashboard.</t>
        </is>
      </c>
    </row>
    <row r="12">
      <c r="A12" t="inlineStr">
        <is>
          <t>4. YTD Methodology: Always use Year-to-Date (YTD) totals from your statements. Overwrite existing rows as new statements arrive.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64"/>
  <sheetViews>
    <sheetView workbookViewId="0">
      <selection activeCell="A1" sqref="A1"/>
    </sheetView>
  </sheetViews>
  <sheetFormatPr baseColWidth="8" defaultRowHeight="15"/>
  <cols>
    <col width="28" customWidth="1" min="1" max="1"/>
    <col width="12" customWidth="1" min="2" max="2"/>
    <col width="12" customWidth="1" min="3" max="3"/>
    <col width="28" customWidth="1" min="4" max="4"/>
    <col width="28" customWidth="1" min="5" max="5"/>
    <col width="28" customWidth="1" min="6" max="6"/>
    <col width="12" customWidth="1" min="7" max="7"/>
    <col width="12" customWidth="1" min="8" max="8"/>
    <col width="24" customWidth="1" min="9" max="9"/>
    <col width="12" customWidth="1" min="10" max="10"/>
  </cols>
  <sheetData>
    <row r="1">
      <c r="A1" s="1" t="inlineStr">
        <is>
          <t>Configuration</t>
        </is>
      </c>
      <c r="D1" s="1" t="inlineStr">
        <is>
          <t>Estimated Tax Payments Ledger</t>
        </is>
      </c>
      <c r="I1" s="1" t="inlineStr">
        <is>
          <t>PAYMENT ACTION CENTER</t>
        </is>
      </c>
      <c r="J1" s="1" t="n"/>
    </row>
    <row r="2">
      <c r="A2" s="2" t="inlineStr">
        <is>
          <t>Filing Status (Single)</t>
        </is>
      </c>
      <c r="B2" s="3" t="inlineStr">
        <is>
          <t>Single</t>
        </is>
      </c>
      <c r="D2" s="2" t="inlineStr">
        <is>
          <t>Date</t>
        </is>
      </c>
      <c r="E2" s="2" t="inlineStr">
        <is>
          <t>Calculated Estimate (Optional)</t>
        </is>
      </c>
      <c r="F2" s="2" t="inlineStr">
        <is>
          <t>Actual Payment Made (Required)</t>
        </is>
      </c>
      <c r="G2" s="2" t="inlineStr">
        <is>
          <t>Note</t>
        </is>
      </c>
      <c r="I2" s="4" t="inlineStr">
        <is>
          <t>FED DUE NOW:</t>
        </is>
      </c>
      <c r="J2" s="5">
        <f>IFS(B9&lt;=DATE(B8,4,15), C55, B9&lt;=DATE(B8,6,15), C56, B9&lt;=DATE(B8,9,15), C57, TRUE, C58)</f>
        <v/>
      </c>
    </row>
    <row r="3">
      <c r="A3" s="2" t="inlineStr">
        <is>
          <t>Dependents (Under 17)</t>
        </is>
      </c>
      <c r="B3" s="3" t="n">
        <v>0</v>
      </c>
      <c r="D3" s="6" t="inlineStr">
        <is>
          <t>04/15/2026</t>
        </is>
      </c>
      <c r="E3" s="7" t="n"/>
      <c r="F3" s="7" t="n"/>
      <c r="G3" s="8" t="inlineStr">
        <is>
          <t>Fed Q1</t>
        </is>
      </c>
      <c r="I3" s="9" t="inlineStr">
        <is>
          <t>BY DEADLINE:</t>
        </is>
      </c>
      <c r="J3" s="10">
        <f>IFS(B9&lt;=DATE(B8,4,15), "04/15/"&amp;B8, B9&lt;=DATE(B8,6,15), "06/15/"&amp;B8, B9&lt;=DATE(B8,9,15), "09/15/"&amp;B8, TRUE, "01/15/"&amp;(B8+1))</f>
        <v/>
      </c>
    </row>
    <row r="4">
      <c r="A4" s="2" t="inlineStr">
        <is>
          <t>Prior Year Fed Tax (Safe Harbor)</t>
        </is>
      </c>
      <c r="B4" s="11" t="n">
        <v>0</v>
      </c>
      <c r="D4" s="6" t="inlineStr">
        <is>
          <t>04/15/2026</t>
        </is>
      </c>
      <c r="E4" s="7" t="n"/>
      <c r="F4" s="7" t="n"/>
      <c r="G4" s="8" t="inlineStr">
        <is>
          <t>CA Q1</t>
        </is>
      </c>
      <c r="I4" s="9" t="inlineStr">
        <is>
          <t>Next FED Target:</t>
        </is>
      </c>
      <c r="J4" s="12">
        <f>IFS(B9&lt;=DATE(B8,4,15), B55, B9&lt;=DATE(B8,6,15), B56, B9&lt;=DATE(B8,9,15), B57, TRUE, B58)</f>
        <v/>
      </c>
    </row>
    <row r="5">
      <c r="A5" s="2" t="inlineStr">
        <is>
          <t>Prior Year CA Tax (Safe Harbor)</t>
        </is>
      </c>
      <c r="B5" s="11" t="n">
        <v>0</v>
      </c>
      <c r="D5" s="6" t="inlineStr">
        <is>
          <t>06/15/2026</t>
        </is>
      </c>
      <c r="E5" s="7" t="n"/>
      <c r="F5" s="7" t="n"/>
      <c r="G5" s="8" t="inlineStr">
        <is>
          <t>Fed Q2</t>
        </is>
      </c>
      <c r="I5" s="9" t="inlineStr">
        <is>
          <t>FED Payments YTD:</t>
        </is>
      </c>
      <c r="J5" s="12">
        <f>B50</f>
        <v/>
      </c>
    </row>
    <row r="6">
      <c r="A6" s="2" t="inlineStr">
        <is>
          <t>Estimated Fed Itemized Deduction</t>
        </is>
      </c>
      <c r="B6" s="11" t="n">
        <v>0</v>
      </c>
      <c r="D6" s="6" t="inlineStr">
        <is>
          <t>06/15/2026</t>
        </is>
      </c>
      <c r="E6" s="7" t="n"/>
      <c r="F6" s="7" t="n"/>
      <c r="G6" s="8" t="inlineStr">
        <is>
          <t>CA Q2</t>
        </is>
      </c>
      <c r="I6" s="9" t="inlineStr">
        <is>
          <t>FED Status:</t>
        </is>
      </c>
      <c r="J6" s="10">
        <f>IF(J5&gt;=J4, "✅ Met (Surplus: " &amp; TEXT(J5-J4, "$#,##0") &amp; ")", "🔴 Shortfall (" &amp; TEXT(J4-J5, "$#,##0") &amp; ")")</f>
        <v/>
      </c>
    </row>
    <row r="7">
      <c r="A7" s="2" t="inlineStr">
        <is>
          <t>Estimated CA Itemized Deduction</t>
        </is>
      </c>
      <c r="B7" s="11" t="n">
        <v>0</v>
      </c>
      <c r="D7" s="6" t="inlineStr">
        <is>
          <t>09/15/2026</t>
        </is>
      </c>
      <c r="E7" s="7" t="n"/>
      <c r="F7" s="7" t="n"/>
      <c r="G7" s="8" t="inlineStr">
        <is>
          <t>Fed Q3</t>
        </is>
      </c>
      <c r="I7" s="9" t="n"/>
      <c r="J7" s="10" t="n"/>
    </row>
    <row r="8">
      <c r="A8" s="2" t="inlineStr">
        <is>
          <t>Tax Year</t>
        </is>
      </c>
      <c r="B8" s="3" t="n">
        <v>2026</v>
      </c>
      <c r="D8" s="6" t="inlineStr">
        <is>
          <t>09/15/2026</t>
        </is>
      </c>
      <c r="E8" s="7" t="n"/>
      <c r="F8" s="7" t="n"/>
      <c r="G8" s="8" t="inlineStr">
        <is>
          <t>CA Q3</t>
        </is>
      </c>
      <c r="I8" s="4" t="inlineStr">
        <is>
          <t>CA DUE NOW:</t>
        </is>
      </c>
      <c r="J8" s="5">
        <f>IFS(B9&lt;=DATE(B8,4,15), C61, B9&lt;=DATE(B8,6,15), C62, B9&lt;=DATE(B8,9,15), C63, TRUE, C64)</f>
        <v/>
      </c>
    </row>
    <row r="9">
      <c r="A9" s="2" t="inlineStr">
        <is>
          <t>Status Date</t>
        </is>
      </c>
      <c r="B9" s="13">
        <f>TODAY()</f>
        <v/>
      </c>
      <c r="D9" s="6" t="inlineStr">
        <is>
          <t>01/15/2027</t>
        </is>
      </c>
      <c r="E9" s="7" t="n"/>
      <c r="F9" s="7" t="n"/>
      <c r="G9" s="8" t="inlineStr">
        <is>
          <t>Fed Q4</t>
        </is>
      </c>
      <c r="I9" s="9" t="inlineStr">
        <is>
          <t>BY DEADLINE:</t>
        </is>
      </c>
      <c r="J9" s="10">
        <f>IFS(B9&lt;=DATE(B8,4,15), "04/15/"&amp;B8, B9&lt;=DATE(B8,6,15), "06/15/"&amp;B8, B9&lt;=DATE(B8,9,15), "09/15/"&amp;B8, TRUE, "01/15/"&amp;(B8+1))</f>
        <v/>
      </c>
    </row>
    <row r="10">
      <c r="A10" s="2" t="n"/>
      <c r="D10" s="6" t="inlineStr">
        <is>
          <t>01/15/2027</t>
        </is>
      </c>
      <c r="E10" s="7" t="n"/>
      <c r="F10" s="7" t="n"/>
      <c r="G10" s="8" t="inlineStr">
        <is>
          <t>CA Q4</t>
        </is>
      </c>
      <c r="I10" s="9" t="inlineStr">
        <is>
          <t>Next CA Target:</t>
        </is>
      </c>
      <c r="J10" s="12">
        <f>IFS(B9&lt;=DATE(B8,4,15), B61, B9&lt;=DATE(B8,6,15), B62, B9&lt;=DATE(B8,9,15), B63, TRUE, B64)</f>
        <v/>
      </c>
    </row>
    <row r="11">
      <c r="A11" s="1" t="inlineStr">
        <is>
          <t>Projection &amp; Assumptions</t>
        </is>
      </c>
      <c r="D11" s="2" t="n"/>
      <c r="I11" s="9" t="inlineStr">
        <is>
          <t>CA Payments YTD:</t>
        </is>
      </c>
      <c r="J11" s="12">
        <f>B52</f>
        <v/>
      </c>
    </row>
    <row r="12">
      <c r="A12" s="2" t="inlineStr">
        <is>
          <t>Manual Income Offset ($)</t>
        </is>
      </c>
      <c r="B12" s="11" t="n">
        <v>0</v>
      </c>
      <c r="D12" s="2" t="n"/>
      <c r="I12" s="9" t="inlineStr">
        <is>
          <t>CA Status:</t>
        </is>
      </c>
      <c r="J12" s="10">
        <f>IF(J11&gt;=J10, "✅ Met (Surplus: " &amp; TEXT(J11-J10, "$#,##0") &amp; ")", "🔴 Shortfall (" &amp; TEXT(J10-J11, "$#,##0") &amp; ")")</f>
        <v/>
      </c>
    </row>
    <row r="13">
      <c r="A13" s="2" t="inlineStr">
        <is>
          <t>Future Income Weight (%)</t>
        </is>
      </c>
      <c r="B13" s="14" t="n">
        <v>1</v>
      </c>
      <c r="D13" s="2" t="n"/>
      <c r="I13" s="9" t="n"/>
      <c r="J13" s="10" t="n"/>
    </row>
    <row r="14">
      <c r="A14" s="2" t="inlineStr">
        <is>
          <t>Remaining Year Wage Income</t>
        </is>
      </c>
      <c r="B14" s="11">
        <f>IF(MAX('Wage Snapshots'!A:A)=0, 0, (SUM('Wage Snapshots'!B:B) / MAX(1, MAX('Wage Snapshots'!A:A) - DATE(B8,1,1))) * (DATE(B8,12,31) - MAX('Wage Snapshots'!A:A)))</f>
        <v/>
      </c>
      <c r="D14" s="2" t="n"/>
      <c r="I14" s="2" t="n"/>
    </row>
    <row r="15">
      <c r="A15" s="2" t="inlineStr">
        <is>
          <t>Remaining Year Deductions</t>
        </is>
      </c>
      <c r="B15" s="11">
        <f>IF(MAX('Wage Snapshots'!A:A)=0, 0, (SUM('Wage Snapshots'!C:D) / MAX(1, MAX('Wage Snapshots'!A:A) - DATE(B8,1,1))) * (DATE(B8,12,31) - MAX('Wage Snapshots'!A:A)))</f>
        <v/>
      </c>
      <c r="D15" s="2" t="n"/>
      <c r="I15" s="1" t="inlineStr">
        <is>
          <t>TAX DIAGNOSTICS</t>
        </is>
      </c>
    </row>
    <row r="16">
      <c r="A16" s="2" t="n"/>
      <c r="D16" s="2" t="n"/>
      <c r="I16" s="2" t="inlineStr">
        <is>
          <t>Fed Target Method:</t>
        </is>
      </c>
      <c r="J16">
        <f>IF(B4=0, "90% Forecast", IF(B46*0.9 &lt; B4*1.1, "90% Forecast", "110% Safe Harbor"))</f>
        <v/>
      </c>
    </row>
    <row r="17">
      <c r="A17" s="1" t="inlineStr">
        <is>
          <t>Consolidated Income Projection</t>
        </is>
      </c>
      <c r="D17" s="2" t="n"/>
      <c r="I17" s="2" t="inlineStr">
        <is>
          <t>CA Target Method:</t>
        </is>
      </c>
      <c r="J17">
        <f>IF(B5=0, "80% Forecast", IF(B37*0.8 &lt; B5*1.1, "80% Forecast", "110% Safe Harbor"))</f>
        <v/>
      </c>
    </row>
    <row r="18">
      <c r="A18" s="2" t="inlineStr">
        <is>
          <t>Total Projected Wage Income</t>
        </is>
      </c>
      <c r="B18" s="15">
        <f>SUM('Wage Snapshots'!B:B) + (B14 * B13) + B12</f>
        <v/>
      </c>
      <c r="D18" s="2" t="n"/>
      <c r="I18" s="2" t="inlineStr">
        <is>
          <t>Effective Fed Rate:</t>
        </is>
      </c>
      <c r="J18" s="16">
        <f>B46 / MAX(1, B23)</f>
        <v/>
      </c>
    </row>
    <row r="19">
      <c r="A19" s="2" t="inlineStr">
        <is>
          <t>Federal W-2 State Wages</t>
        </is>
      </c>
      <c r="B19" s="15">
        <f>B18 - SUM('Wage Snapshots'!C:D) - (B15 * B13)</f>
        <v/>
      </c>
      <c r="D19" s="2" t="n"/>
      <c r="I19" s="2" t="inlineStr">
        <is>
          <t>Effective CA Rate:</t>
        </is>
      </c>
      <c r="J19" s="16">
        <f>B37 / MAX(1, B23)</f>
        <v/>
      </c>
    </row>
    <row r="20">
      <c r="A20" s="2" t="inlineStr">
        <is>
          <t>CA W-2 State Wages</t>
        </is>
      </c>
      <c r="B20" s="15">
        <f>B18 - SUM('Wage Snapshots'!C:C) - (SUM('Wage Snapshots'!C:C)/MAX(1, SUM('Wage Snapshots'!C:D))) * B15 * B13</f>
        <v/>
      </c>
      <c r="D20" s="2" t="n"/>
      <c r="I20" s="2" t="inlineStr">
        <is>
          <t>Marginal Fed Bracket:</t>
        </is>
      </c>
      <c r="J20" s="16">
        <f>XLOOKUP(B28, FILTER('Tax Constants'!B3:B30, 'Tax Constants'!A3:A30=B2), FILTER('Tax Constants'!D3:D30, 'Tax Constants'!A3:A30=B2), 0, -1)</f>
        <v/>
      </c>
    </row>
    <row r="21">
      <c r="A21" s="2" t="inlineStr">
        <is>
          <t>Investment Ordinary (Div/Int + STG)</t>
        </is>
      </c>
      <c r="B21" s="15">
        <f>SUM('Investment Income Snapshots'!C:C) + SUM('Investment Income Snapshots'!D:D)</f>
        <v/>
      </c>
      <c r="D21" s="2" t="n"/>
      <c r="I21" s="2" t="inlineStr">
        <is>
          <t>Marginal CA Bracket:</t>
        </is>
      </c>
      <c r="J21" s="16">
        <f>XLOOKUP(B34, FILTER('Tax Constants'!B49:B84, 'Tax Constants'!A49:A84=B2), FILTER('Tax Constants'!D49:D84, 'Tax Constants'!A49:A84=B2), 0, -1)</f>
        <v/>
      </c>
    </row>
    <row r="22">
      <c r="A22" s="2" t="inlineStr">
        <is>
          <t>Investment Preferential (LTG Only)</t>
        </is>
      </c>
      <c r="B22" s="15">
        <f>SUM('Investment Income Snapshots'!E:E)</f>
        <v/>
      </c>
      <c r="D22" s="2" t="n"/>
      <c r="I22" s="2" t="inlineStr">
        <is>
          <t>Deduction Applied:</t>
        </is>
      </c>
      <c r="J22">
        <f>IF(B6&gt;XLOOKUP(B2, 'Tax Constants'!A3:A30, 'Tax Constants'!E3:E30, 0), "ITEMIZED", "STANDARD")</f>
        <v/>
      </c>
    </row>
    <row r="23">
      <c r="A23" s="2" t="inlineStr">
        <is>
          <t>Total Projected Federal AGI</t>
        </is>
      </c>
      <c r="B23" s="15">
        <f>B19 + B21 + B22</f>
        <v/>
      </c>
      <c r="D23" s="2" t="n"/>
      <c r="I23" s="2" t="n"/>
    </row>
    <row r="24">
      <c r="A24" s="2" t="inlineStr">
        <is>
          <t>Total Projected CA AGI</t>
        </is>
      </c>
      <c r="B24" s="15">
        <f>B20 + B21 + B22</f>
        <v/>
      </c>
      <c r="D24" s="2" t="n"/>
      <c r="I24" s="2" t="n"/>
    </row>
    <row r="25">
      <c r="A25" s="2" t="n"/>
      <c r="D25" s="2" t="n"/>
      <c r="I25" s="1" t="inlineStr">
        <is>
          <t>ACTIVE WARNINGS</t>
        </is>
      </c>
    </row>
    <row r="26">
      <c r="A26" s="1" t="inlineStr">
        <is>
          <t>Federal Tax Calculation</t>
        </is>
      </c>
      <c r="D26" s="2" t="n"/>
      <c r="I26" s="2" t="inlineStr">
        <is>
          <t>Stale Snapshots:</t>
        </is>
      </c>
      <c r="J26">
        <f>IF(OR(MAX('Wage Snapshots'!A:A)=0, (B9 - MAX('Wage Snapshots'!A:A)) &gt; 30), "🔴 !!! 30+ DAYS OLD !!!", "OK")</f>
        <v/>
      </c>
    </row>
    <row r="27">
      <c r="A27" s="2" t="inlineStr">
        <is>
          <t>Deduction Applied (Max Std/Item)</t>
        </is>
      </c>
      <c r="B27" s="15">
        <f>MAX(XLOOKUP(B2, 'Tax Constants'!A3:A30, 'Tax Constants'!E3:E30, 0), B6)</f>
        <v/>
      </c>
      <c r="D27" s="2" t="n"/>
      <c r="I27" s="2" t="inlineStr">
        <is>
          <t>Prior Year Data:</t>
        </is>
      </c>
      <c r="J27">
        <f>IF(B4=0, "🔴 WARNING: FED MISSING", "OK")</f>
        <v/>
      </c>
    </row>
    <row r="28">
      <c r="A28" s="2" t="inlineStr">
        <is>
          <t>Ordinary Taxable Income</t>
        </is>
      </c>
      <c r="B28" s="15">
        <f>MAX(0, B23 - B27 - B22)</f>
        <v/>
      </c>
      <c r="D28" s="2" t="n"/>
      <c r="I28" s="2" t="inlineStr">
        <is>
          <t>HSA Verification (CA):</t>
        </is>
      </c>
      <c r="J28">
        <f>IF(SUM('Wage Snapshots'!D:D)=0, "✅ No HSA Detected", IF(B20=B19, "🔴 ERR: HSA NOT ADDED TO CA", "✅ HSA Corrected (CA)"))</f>
        <v/>
      </c>
    </row>
    <row r="29">
      <c r="A29" s="2" t="inlineStr">
        <is>
          <t>Ordinary Income Tax</t>
        </is>
      </c>
      <c r="B29" s="15">
        <f>XLOOKUP(B28, FILTER('Tax Constants'!B3:B30, 'Tax Constants'!A3:A30=B2), FILTER('Tax Constants'!C3:C30, 'Tax Constants'!A3:A30=B2), 0, -1) + (B28 - XLOOKUP(B28, FILTER('Tax Constants'!B3:B30, 'Tax Constants'!A3:A30=B2), FILTER('Tax Constants'!B3:B30, 'Tax Constants'!A3:A30=B2), 0, -1)) * XLOOKUP(B28, FILTER('Tax Constants'!B3:B30, 'Tax Constants'!A3:A30=B2), FILTER('Tax Constants'!D3:D30, 'Tax Constants'!A3:A30=B2), 0, -1)</f>
        <v/>
      </c>
      <c r="D29" s="2" t="n"/>
      <c r="I29" s="2" t="n"/>
    </row>
    <row r="30">
      <c r="A30" s="2" t="inlineStr">
        <is>
          <t>Capital Gains Tax</t>
        </is>
      </c>
      <c r="B30" s="15">
        <f>IF(B22&gt;0, B22 * XLOOKUP(B28+B22, FILTER('Tax Constants'!B34:B45, 'Tax Constants'!A34:A45=B2), FILTER('Tax Constants'!C34:C45, 'Tax Constants'!A34:A45=B2), 0, -1), 0)</f>
        <v/>
      </c>
      <c r="D30" s="2" t="n"/>
      <c r="I30" s="2" t="n"/>
    </row>
    <row r="31">
      <c r="A31" s="2" t="n"/>
      <c r="D31" s="2" t="n"/>
      <c r="I31" s="2" t="n"/>
    </row>
    <row r="32">
      <c r="A32" s="1" t="inlineStr">
        <is>
          <t>CA Tax Calculation</t>
        </is>
      </c>
      <c r="D32" s="2" t="n"/>
      <c r="I32" s="2" t="n"/>
    </row>
    <row r="33">
      <c r="A33" s="2" t="inlineStr">
        <is>
          <t>CA Deduction Applied</t>
        </is>
      </c>
      <c r="B33" s="15">
        <f>MAX(XLOOKUP(B2, 'Tax Constants'!A49:A84, 'Tax Constants'!E49:E84, 0), B7)</f>
        <v/>
      </c>
      <c r="D33" s="2" t="n"/>
      <c r="I33" s="2" t="n"/>
    </row>
    <row r="34">
      <c r="A34" s="2" t="inlineStr">
        <is>
          <t>CA Taxable Income</t>
        </is>
      </c>
      <c r="B34" s="15">
        <f>MAX(0, B24 - B33)</f>
        <v/>
      </c>
      <c r="D34" s="2" t="n"/>
      <c r="I34" s="2" t="n"/>
    </row>
    <row r="35">
      <c r="A35" s="2" t="inlineStr">
        <is>
          <t>CA Regular Tax</t>
        </is>
      </c>
      <c r="B35" s="15">
        <f>XLOOKUP(B34, FILTER('Tax Constants'!B49:B84, 'Tax Constants'!A49:A84=B2), FILTER('Tax Constants'!C49:C84, 'Tax Constants'!A49:A84=B2), 0, -1) + (B34 - XLOOKUP(B34, FILTER('Tax Constants'!B49:B84, 'Tax Constants'!A49:A84=B2), FILTER('Tax Constants'!B49:B84, 'Tax Constants'!A49:A84=B2), 0, -1)) * XLOOKUP(B34, FILTER('Tax Constants'!B49:B84, 'Tax Constants'!A49:A84=B2), FILTER('Tax Constants'!D49:D84, 'Tax Constants'!A49:A84=B2), 0, -1)</f>
        <v/>
      </c>
      <c r="D35" s="2" t="n"/>
      <c r="I35" s="2" t="n"/>
    </row>
    <row r="36">
      <c r="A36" s="2" t="inlineStr">
        <is>
          <t>CA MH Surcharge (1%)</t>
        </is>
      </c>
      <c r="B36" s="15">
        <f>IF(B34 &gt; 1000000, (B34 - 1000000) * 0.01, 0)</f>
        <v/>
      </c>
      <c r="D36" s="2" t="n"/>
      <c r="I36" s="2" t="n"/>
    </row>
    <row r="37">
      <c r="A37" s="2" t="inlineStr">
        <is>
          <t>Total CA Liability</t>
        </is>
      </c>
      <c r="B37" s="15">
        <f>B35 + B36</f>
        <v/>
      </c>
      <c r="D37" s="2" t="n"/>
      <c r="I37" s="2" t="n"/>
    </row>
    <row r="38">
      <c r="A38" s="2" t="n"/>
      <c r="D38" s="2" t="n"/>
      <c r="I38" s="2" t="n"/>
    </row>
    <row r="39">
      <c r="A39" s="2" t="inlineStr">
        <is>
          <t>Final Liability &amp; Surtaxes</t>
        </is>
      </c>
      <c r="D39" s="2" t="n"/>
      <c r="I39" s="2" t="n"/>
    </row>
    <row r="40">
      <c r="A40" s="2" t="inlineStr">
        <is>
          <t>NIIT Threshold</t>
        </is>
      </c>
      <c r="B40" s="15">
        <f>XLOOKUP(B2, 'Tax Constants'!A88:A91, 'Tax Constants'!B88:B91, 200000)</f>
        <v/>
      </c>
      <c r="D40" s="2" t="n"/>
      <c r="I40" s="2" t="n"/>
    </row>
    <row r="41">
      <c r="A41" s="2" t="inlineStr">
        <is>
          <t>NIIT (Fed)</t>
        </is>
      </c>
      <c r="B41" s="15">
        <f>IF(B23 &gt; B40, 0.038 * MIN(B23-B40, B21+B22), 0)</f>
        <v/>
      </c>
      <c r="D41" s="2" t="n"/>
      <c r="I41" s="2" t="n"/>
    </row>
    <row r="42">
      <c r="A42" s="2" t="inlineStr">
        <is>
          <t>Addl Medicare Threshold</t>
        </is>
      </c>
      <c r="B42" s="15">
        <f>XLOOKUP(B2, 'Tax Constants'!A88:A91, 'Tax Constants'!C88:C91, 200000)</f>
        <v/>
      </c>
      <c r="D42" s="2" t="n"/>
      <c r="I42" s="2" t="n"/>
    </row>
    <row r="43">
      <c r="A43" s="2" t="inlineStr">
        <is>
          <t>Addl Medicare (Fed)</t>
        </is>
      </c>
      <c r="B43" s="15">
        <f>IF(B18 &gt; B42, 0.009 * (B18-B42), 0)</f>
        <v/>
      </c>
      <c r="D43" s="2" t="n"/>
      <c r="I43" s="2" t="n"/>
    </row>
    <row r="44">
      <c r="A44" s="2" t="inlineStr">
        <is>
          <t>CTC Phaseout Start</t>
        </is>
      </c>
      <c r="B44" s="15">
        <f>XLOOKUP(B2, 'Tax Constants'!A88:A91, 'Tax Constants'!D88:D91, 200000)</f>
        <v/>
      </c>
      <c r="D44" s="2" t="n"/>
      <c r="I44" s="2" t="n"/>
    </row>
    <row r="45">
      <c r="A45" s="2" t="inlineStr">
        <is>
          <t>Child Tax Credit</t>
        </is>
      </c>
      <c r="B45" s="15">
        <f>IF(B23 &gt; B44, MAX(0, (B3*2000)-((B23-B44)/1000)*50), B3*2000)</f>
        <v/>
      </c>
      <c r="D45" s="2" t="n"/>
      <c r="I45" s="2" t="n"/>
    </row>
    <row r="46">
      <c r="A46" s="2" t="inlineStr">
        <is>
          <t>Total Federal Liability</t>
        </is>
      </c>
      <c r="B46" s="15">
        <f>B29 + B30 + B41 + B43 - B45</f>
        <v/>
      </c>
      <c r="D46" s="2" t="n"/>
      <c r="I46" s="2" t="n"/>
    </row>
    <row r="47">
      <c r="A47" s="2" t="n"/>
      <c r="D47" s="2" t="n"/>
      <c r="I47" s="2" t="n"/>
    </row>
    <row r="48">
      <c r="A48" s="1" t="inlineStr">
        <is>
          <t>Payment Requirements</t>
        </is>
      </c>
      <c r="D48" s="2" t="n"/>
      <c r="I48" s="2" t="n"/>
    </row>
    <row r="49">
      <c r="A49" s="2" t="inlineStr">
        <is>
          <t>Fed Target</t>
        </is>
      </c>
      <c r="B49" s="15">
        <f>IF(B4=0, B46 * 0.9, MIN(B46 * 0.9, B4 * 1.1))</f>
        <v/>
      </c>
      <c r="D49" s="2" t="n"/>
      <c r="I49" s="2" t="n"/>
    </row>
    <row r="50">
      <c r="A50" s="2" t="inlineStr">
        <is>
          <t>Total Fed Payments YTD</t>
        </is>
      </c>
      <c r="B50" s="15">
        <f>SUM('Wage Snapshots'!E:E) + SUMIFS(F3:F10, G3:G10, "Fed*")</f>
        <v/>
      </c>
      <c r="D50" s="2" t="n"/>
      <c r="I50" s="2" t="n"/>
    </row>
    <row r="51">
      <c r="A51" s="2" t="inlineStr">
        <is>
          <t>CA Target</t>
        </is>
      </c>
      <c r="B51" s="15">
        <f>IF(B5=0, B37 * 0.8, MIN(B37 * 0.8, B5 * 1.1))</f>
        <v/>
      </c>
      <c r="D51" s="2" t="n"/>
      <c r="I51" s="2" t="n"/>
    </row>
    <row r="52">
      <c r="A52" s="2" t="inlineStr">
        <is>
          <t>Total CA Payments YTD</t>
        </is>
      </c>
      <c r="B52" s="15">
        <f>SUM('Wage Snapshots'!F:F) + SUMIFS(F3:F10, G3:G10, "CA*")</f>
        <v/>
      </c>
      <c r="D52" s="2" t="n"/>
      <c r="I52" s="2" t="n"/>
    </row>
    <row r="53">
      <c r="A53" s="2" t="n"/>
      <c r="D53" s="2" t="n"/>
      <c r="I53" s="2" t="n"/>
    </row>
    <row r="54">
      <c r="A54" s="2" t="n"/>
      <c r="C54" s="15" t="n"/>
      <c r="D54" s="2" t="n"/>
      <c r="I54" s="2" t="n"/>
    </row>
    <row r="55">
      <c r="A55" s="2" t="inlineStr">
        <is>
          <t>Q1 (Apr 15)</t>
        </is>
      </c>
      <c r="B55">
        <f>B49 * 0.25</f>
        <v/>
      </c>
      <c r="C55" s="15">
        <f>MAX(0, B55 - B50)</f>
        <v/>
      </c>
      <c r="D55" s="2" t="n"/>
      <c r="I55" s="2" t="n"/>
    </row>
    <row r="56">
      <c r="A56" s="2" t="inlineStr">
        <is>
          <t>Q2 (Jun 15)</t>
        </is>
      </c>
      <c r="B56">
        <f>B49 * 0.5</f>
        <v/>
      </c>
      <c r="C56" s="15">
        <f>MAX(0, B56 - B50)</f>
        <v/>
      </c>
      <c r="D56" s="2" t="n"/>
      <c r="I56" s="2" t="n"/>
    </row>
    <row r="57">
      <c r="A57" s="2" t="inlineStr">
        <is>
          <t>Q3 (Sep 15)</t>
        </is>
      </c>
      <c r="B57">
        <f>B49 * 0.75</f>
        <v/>
      </c>
      <c r="C57" s="15">
        <f>MAX(0, B57 - B50)</f>
        <v/>
      </c>
      <c r="D57" s="2" t="n"/>
      <c r="I57" s="2" t="n"/>
    </row>
    <row r="58">
      <c r="A58" s="2" t="inlineStr">
        <is>
          <t>Q4 (Jan 15)</t>
        </is>
      </c>
      <c r="B58">
        <f>B49 * 1.0</f>
        <v/>
      </c>
      <c r="C58" s="15">
        <f>MAX(0, B58 - B50)</f>
        <v/>
      </c>
      <c r="D58" s="2" t="n"/>
      <c r="I58" s="2" t="n"/>
    </row>
    <row r="59">
      <c r="A59" s="2" t="n"/>
      <c r="C59" s="15" t="n"/>
      <c r="D59" s="2" t="n"/>
      <c r="I59" s="2" t="n"/>
    </row>
    <row r="60">
      <c r="A60" s="2" t="n"/>
      <c r="C60" s="15" t="n"/>
      <c r="D60" s="2" t="n"/>
      <c r="I60" s="2" t="n"/>
    </row>
    <row r="61">
      <c r="A61" s="2" t="inlineStr">
        <is>
          <t>Q1 (Apr 15)</t>
        </is>
      </c>
      <c r="B61">
        <f>B51 * 0.3</f>
        <v/>
      </c>
      <c r="C61" s="15">
        <f>MAX(0, B61 - B52)</f>
        <v/>
      </c>
      <c r="D61" s="2" t="n"/>
      <c r="I61" s="2" t="n"/>
    </row>
    <row r="62">
      <c r="A62" s="2" t="inlineStr">
        <is>
          <t>Q2 (Jun 15)</t>
        </is>
      </c>
      <c r="B62">
        <f>B51 * 0.7</f>
        <v/>
      </c>
      <c r="C62" s="15">
        <f>MAX(0, B62 - B52)</f>
        <v/>
      </c>
      <c r="D62" s="2" t="n"/>
      <c r="I62" s="2" t="n"/>
    </row>
    <row r="63">
      <c r="A63" s="2" t="inlineStr">
        <is>
          <t>Q3 (Sep 15)</t>
        </is>
      </c>
      <c r="B63">
        <f>B51 * 0.7</f>
        <v/>
      </c>
      <c r="C63" s="15">
        <f>MAX(0, B63 - B52)</f>
        <v/>
      </c>
      <c r="D63" s="2" t="n"/>
      <c r="I63" s="2" t="n"/>
    </row>
    <row r="64">
      <c r="A64" s="2" t="inlineStr">
        <is>
          <t>Q4 (Jan 15)</t>
        </is>
      </c>
      <c r="B64">
        <f>B51 * 1.0</f>
        <v/>
      </c>
      <c r="C64" s="15">
        <f>MAX(0, B64 - B52)</f>
        <v/>
      </c>
      <c r="D64" s="2" t="n"/>
      <c r="I64" s="2" t="n"/>
    </row>
  </sheetData>
  <dataValidations count="1">
    <dataValidation sqref="B2" showDropDown="0" showInputMessage="0" showErrorMessage="1" allowBlank="0" type="list">
      <formula1>"Single,MFJ,MFS,HoH"</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1"/>
  <sheetViews>
    <sheetView workbookViewId="0">
      <selection activeCell="A1" sqref="A1"/>
    </sheetView>
  </sheetViews>
  <sheetFormatPr baseColWidth="8" defaultRowHeight="15"/>
  <cols>
    <col width="12" customWidth="1" min="1" max="1"/>
    <col width="12" customWidth="1" min="2" max="2"/>
    <col width="22" customWidth="1" min="3" max="3"/>
    <col width="18" customWidth="1" min="4" max="4"/>
    <col width="17" customWidth="1" min="5" max="5"/>
  </cols>
  <sheetData>
    <row r="1">
      <c r="A1" s="1" t="inlineStr">
        <is>
          <t>Quarter</t>
        </is>
      </c>
      <c r="B1" s="1" t="inlineStr">
        <is>
          <t>Broker</t>
        </is>
      </c>
      <c r="C1" s="1" t="inlineStr">
        <is>
          <t>Dividends &amp; Interest</t>
        </is>
      </c>
      <c r="D1" s="1" t="inlineStr">
        <is>
          <t>Short-Term Gains</t>
        </is>
      </c>
      <c r="E1" s="1" t="inlineStr">
        <is>
          <t>Long-Term Gains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
  <sheetViews>
    <sheetView workbookViewId="0">
      <selection activeCell="A1" sqref="A1"/>
    </sheetView>
  </sheetViews>
  <sheetFormatPr baseColWidth="8" defaultRowHeight="15"/>
  <cols>
    <col width="12" customWidth="1" min="1" max="1"/>
    <col width="18" customWidth="1" min="2" max="2"/>
    <col width="20" customWidth="1" min="3" max="3"/>
    <col width="19" customWidth="1" min="4" max="4"/>
    <col width="18" customWidth="1" min="5" max="5"/>
    <col width="17" customWidth="1" min="6" max="6"/>
    <col width="14" customWidth="1" min="7" max="7"/>
  </cols>
  <sheetData>
    <row r="1">
      <c r="A1" s="1" t="inlineStr">
        <is>
          <t>Date</t>
        </is>
      </c>
      <c r="B1" s="1" t="inlineStr">
        <is>
          <t>Gross W-2 Income</t>
        </is>
      </c>
      <c r="C1" s="1" t="inlineStr">
        <is>
          <t>Pre-tax Deductions</t>
        </is>
      </c>
      <c r="D1" s="1" t="inlineStr">
        <is>
          <t>HSA Contributions</t>
        </is>
      </c>
      <c r="E1" s="1" t="inlineStr">
        <is>
          <t>Fed Tax Withheld</t>
        </is>
      </c>
      <c r="F1" s="1" t="inlineStr">
        <is>
          <t>CA Tax Withheld</t>
        </is>
      </c>
      <c r="G1" s="1" t="inlineStr">
        <is>
          <t>FICA/Med/SDI</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82"/>
  <sheetViews>
    <sheetView workbookViewId="0">
      <selection activeCell="A1" sqref="A1"/>
    </sheetView>
  </sheetViews>
  <sheetFormatPr baseColWidth="8" defaultRowHeight="15"/>
  <cols>
    <col width="28" customWidth="1" min="1" max="1"/>
    <col width="16" customWidth="1" min="2" max="2"/>
    <col width="15" customWidth="1" min="3" max="3"/>
    <col width="20" customWidth="1" min="4" max="4"/>
    <col width="20" customWidth="1" min="5" max="5"/>
    <col width="20" customWidth="1" min="6" max="6"/>
  </cols>
  <sheetData>
    <row r="1">
      <c r="A1" s="1" t="inlineStr">
        <is>
          <t>Table A: Federal Brackets (Ordinary Income)</t>
        </is>
      </c>
      <c r="B1" s="1" t="n"/>
      <c r="C1" s="1" t="n"/>
      <c r="D1" s="1" t="n"/>
      <c r="E1" s="1" t="n"/>
      <c r="F1" s="1" t="n"/>
    </row>
    <row r="2">
      <c r="A2" t="inlineStr">
        <is>
          <t>Status</t>
        </is>
      </c>
      <c r="B2" t="inlineStr">
        <is>
          <t>Bracket Floor</t>
        </is>
      </c>
      <c r="C2" t="inlineStr">
        <is>
          <t>Base Tax</t>
        </is>
      </c>
      <c r="D2" t="inlineStr">
        <is>
          <t>Marginal Rate</t>
        </is>
      </c>
      <c r="E2" t="inlineStr">
        <is>
          <t>Standard Deduction</t>
        </is>
      </c>
    </row>
    <row r="3">
      <c r="A3" t="inlineStr">
        <is>
          <t>Single</t>
        </is>
      </c>
      <c r="B3" t="n">
        <v>0</v>
      </c>
      <c r="C3" t="n">
        <v>0</v>
      </c>
      <c r="D3" t="n">
        <v>0.1</v>
      </c>
      <c r="E3" t="n">
        <v>15000</v>
      </c>
    </row>
    <row r="4">
      <c r="A4" t="inlineStr">
        <is>
          <t>Single</t>
        </is>
      </c>
      <c r="B4" t="n">
        <v>11925</v>
      </c>
      <c r="C4" t="n">
        <v>1192.5</v>
      </c>
      <c r="D4" t="n">
        <v>0.12</v>
      </c>
      <c r="E4" t="n">
        <v>15000</v>
      </c>
    </row>
    <row r="5">
      <c r="A5" t="inlineStr">
        <is>
          <t>Single</t>
        </is>
      </c>
      <c r="B5" t="n">
        <v>48475</v>
      </c>
      <c r="C5" t="n">
        <v>5578.5</v>
      </c>
      <c r="D5" t="n">
        <v>0.22</v>
      </c>
      <c r="E5" t="n">
        <v>15000</v>
      </c>
    </row>
    <row r="6">
      <c r="A6" t="inlineStr">
        <is>
          <t>Single</t>
        </is>
      </c>
      <c r="B6" t="n">
        <v>103350</v>
      </c>
      <c r="C6" t="n">
        <v>17651</v>
      </c>
      <c r="D6" t="n">
        <v>0.24</v>
      </c>
      <c r="E6" t="n">
        <v>15000</v>
      </c>
    </row>
    <row r="7">
      <c r="A7" t="inlineStr">
        <is>
          <t>Single</t>
        </is>
      </c>
      <c r="B7" t="n">
        <v>197300</v>
      </c>
      <c r="C7" t="n">
        <v>40199</v>
      </c>
      <c r="D7" t="n">
        <v>0.32</v>
      </c>
      <c r="E7" t="n">
        <v>15000</v>
      </c>
    </row>
    <row r="8">
      <c r="A8" t="inlineStr">
        <is>
          <t>Single</t>
        </is>
      </c>
      <c r="B8" t="n">
        <v>250525</v>
      </c>
      <c r="C8" t="n">
        <v>57231</v>
      </c>
      <c r="D8" t="n">
        <v>0.35</v>
      </c>
      <c r="E8" t="n">
        <v>15000</v>
      </c>
    </row>
    <row r="9">
      <c r="A9" t="inlineStr">
        <is>
          <t>Single</t>
        </is>
      </c>
      <c r="B9" t="n">
        <v>626350</v>
      </c>
      <c r="C9" t="n">
        <v>188770</v>
      </c>
      <c r="D9" t="n">
        <v>0.37</v>
      </c>
      <c r="E9" t="n">
        <v>15000</v>
      </c>
    </row>
    <row r="10">
      <c r="A10" t="inlineStr">
        <is>
          <t>MFJ</t>
        </is>
      </c>
      <c r="B10" t="n">
        <v>0</v>
      </c>
      <c r="C10" t="n">
        <v>0</v>
      </c>
      <c r="D10" t="n">
        <v>0.1</v>
      </c>
      <c r="E10" t="n">
        <v>30000</v>
      </c>
    </row>
    <row r="11">
      <c r="A11" t="inlineStr">
        <is>
          <t>MFJ</t>
        </is>
      </c>
      <c r="B11" t="n">
        <v>23850</v>
      </c>
      <c r="C11" t="n">
        <v>2385</v>
      </c>
      <c r="D11" t="n">
        <v>0.12</v>
      </c>
      <c r="E11" t="n">
        <v>30000</v>
      </c>
    </row>
    <row r="12">
      <c r="A12" t="inlineStr">
        <is>
          <t>MFJ</t>
        </is>
      </c>
      <c r="B12" t="n">
        <v>96950</v>
      </c>
      <c r="C12" t="n">
        <v>11157</v>
      </c>
      <c r="D12" t="n">
        <v>0.22</v>
      </c>
      <c r="E12" t="n">
        <v>30000</v>
      </c>
    </row>
    <row r="13">
      <c r="A13" t="inlineStr">
        <is>
          <t>MFJ</t>
        </is>
      </c>
      <c r="B13" t="n">
        <v>206700</v>
      </c>
      <c r="C13" t="n">
        <v>35302</v>
      </c>
      <c r="D13" t="n">
        <v>0.24</v>
      </c>
      <c r="E13" t="n">
        <v>30000</v>
      </c>
    </row>
    <row r="14">
      <c r="A14" t="inlineStr">
        <is>
          <t>MFJ</t>
        </is>
      </c>
      <c r="B14" t="n">
        <v>394600</v>
      </c>
      <c r="C14" t="n">
        <v>80398</v>
      </c>
      <c r="D14" t="n">
        <v>0.32</v>
      </c>
      <c r="E14" t="n">
        <v>30000</v>
      </c>
    </row>
    <row r="15">
      <c r="A15" t="inlineStr">
        <is>
          <t>MFJ</t>
        </is>
      </c>
      <c r="B15" t="n">
        <v>501050</v>
      </c>
      <c r="C15" t="n">
        <v>114462</v>
      </c>
      <c r="D15" t="n">
        <v>0.35</v>
      </c>
      <c r="E15" t="n">
        <v>30000</v>
      </c>
    </row>
    <row r="16">
      <c r="A16" t="inlineStr">
        <is>
          <t>MFJ</t>
        </is>
      </c>
      <c r="B16" t="n">
        <v>751600</v>
      </c>
      <c r="C16" t="n">
        <v>202154.5</v>
      </c>
      <c r="D16" t="n">
        <v>0.37</v>
      </c>
      <c r="E16" t="n">
        <v>30000</v>
      </c>
    </row>
    <row r="17">
      <c r="A17" t="inlineStr">
        <is>
          <t>MFS</t>
        </is>
      </c>
      <c r="B17" t="n">
        <v>0</v>
      </c>
      <c r="C17" t="n">
        <v>0</v>
      </c>
      <c r="D17" t="n">
        <v>0.1</v>
      </c>
      <c r="E17" t="n">
        <v>15000</v>
      </c>
    </row>
    <row r="18">
      <c r="A18" t="inlineStr">
        <is>
          <t>MFS</t>
        </is>
      </c>
      <c r="B18" t="n">
        <v>11925</v>
      </c>
      <c r="C18" t="n">
        <v>1192.5</v>
      </c>
      <c r="D18" t="n">
        <v>0.12</v>
      </c>
      <c r="E18" t="n">
        <v>15000</v>
      </c>
    </row>
    <row r="19">
      <c r="A19" t="inlineStr">
        <is>
          <t>MFS</t>
        </is>
      </c>
      <c r="B19" t="n">
        <v>48475</v>
      </c>
      <c r="C19" t="n">
        <v>5578.5</v>
      </c>
      <c r="D19" t="n">
        <v>0.22</v>
      </c>
      <c r="E19" t="n">
        <v>15000</v>
      </c>
    </row>
    <row r="20">
      <c r="A20" t="inlineStr">
        <is>
          <t>MFS</t>
        </is>
      </c>
      <c r="B20" t="n">
        <v>103350</v>
      </c>
      <c r="C20" t="n">
        <v>17651</v>
      </c>
      <c r="D20" t="n">
        <v>0.24</v>
      </c>
      <c r="E20" t="n">
        <v>15000</v>
      </c>
    </row>
    <row r="21">
      <c r="A21" t="inlineStr">
        <is>
          <t>MFS</t>
        </is>
      </c>
      <c r="B21" t="n">
        <v>197300</v>
      </c>
      <c r="C21" t="n">
        <v>40199</v>
      </c>
      <c r="D21" t="n">
        <v>0.32</v>
      </c>
      <c r="E21" t="n">
        <v>15000</v>
      </c>
    </row>
    <row r="22">
      <c r="A22" t="inlineStr">
        <is>
          <t>MFS</t>
        </is>
      </c>
      <c r="B22" t="n">
        <v>250525</v>
      </c>
      <c r="C22" t="n">
        <v>57231</v>
      </c>
      <c r="D22" t="n">
        <v>0.35</v>
      </c>
      <c r="E22" t="n">
        <v>15000</v>
      </c>
    </row>
    <row r="23">
      <c r="A23" t="inlineStr">
        <is>
          <t>MFS</t>
        </is>
      </c>
      <c r="B23" t="n">
        <v>375800</v>
      </c>
      <c r="C23" t="n">
        <v>101077.25</v>
      </c>
      <c r="D23" t="n">
        <v>0.37</v>
      </c>
      <c r="E23" t="n">
        <v>15000</v>
      </c>
    </row>
    <row r="24">
      <c r="A24" t="inlineStr">
        <is>
          <t>HoH</t>
        </is>
      </c>
      <c r="B24" t="n">
        <v>0</v>
      </c>
      <c r="C24" t="n">
        <v>0</v>
      </c>
      <c r="D24" t="n">
        <v>0.1</v>
      </c>
      <c r="E24" t="n">
        <v>22500</v>
      </c>
    </row>
    <row r="25">
      <c r="A25" t="inlineStr">
        <is>
          <t>HoH</t>
        </is>
      </c>
      <c r="B25" t="n">
        <v>17000</v>
      </c>
      <c r="C25" t="n">
        <v>1700</v>
      </c>
      <c r="D25" t="n">
        <v>0.12</v>
      </c>
      <c r="E25" t="n">
        <v>22500</v>
      </c>
    </row>
    <row r="26">
      <c r="A26" t="inlineStr">
        <is>
          <t>HoH</t>
        </is>
      </c>
      <c r="B26" t="n">
        <v>64850</v>
      </c>
      <c r="C26" t="n">
        <v>7442</v>
      </c>
      <c r="D26" t="n">
        <v>0.22</v>
      </c>
      <c r="E26" t="n">
        <v>22500</v>
      </c>
    </row>
    <row r="27">
      <c r="A27" t="inlineStr">
        <is>
          <t>HoH</t>
        </is>
      </c>
      <c r="B27" t="n">
        <v>103350</v>
      </c>
      <c r="C27" t="n">
        <v>15912</v>
      </c>
      <c r="D27" t="n">
        <v>0.24</v>
      </c>
      <c r="E27" t="n">
        <v>22500</v>
      </c>
    </row>
    <row r="28">
      <c r="A28" t="inlineStr">
        <is>
          <t>HoH</t>
        </is>
      </c>
      <c r="B28" t="n">
        <v>197300</v>
      </c>
      <c r="C28" t="n">
        <v>38460</v>
      </c>
      <c r="D28" t="n">
        <v>0.32</v>
      </c>
      <c r="E28" t="n">
        <v>22500</v>
      </c>
    </row>
    <row r="29">
      <c r="A29" t="inlineStr">
        <is>
          <t>HoH</t>
        </is>
      </c>
      <c r="B29" t="n">
        <v>250500</v>
      </c>
      <c r="C29" t="n">
        <v>55484</v>
      </c>
      <c r="D29" t="n">
        <v>0.35</v>
      </c>
      <c r="E29" t="n">
        <v>22500</v>
      </c>
    </row>
    <row r="30">
      <c r="A30" t="inlineStr">
        <is>
          <t>HoH</t>
        </is>
      </c>
      <c r="B30" t="n">
        <v>626350</v>
      </c>
      <c r="C30" t="n">
        <v>187031.5</v>
      </c>
      <c r="D30" t="n">
        <v>0.37</v>
      </c>
      <c r="E30" t="n">
        <v>22500</v>
      </c>
    </row>
    <row r="31"/>
    <row r="32">
      <c r="A32" t="inlineStr">
        <is>
          <t>Table B: Federal Capital Gains Brackets</t>
        </is>
      </c>
    </row>
    <row r="33">
      <c r="A33" t="inlineStr">
        <is>
          <t>Status</t>
        </is>
      </c>
      <c r="B33" t="inlineStr">
        <is>
          <t>Bracket Floor</t>
        </is>
      </c>
      <c r="C33" t="inlineStr">
        <is>
          <t>LTCG Rate</t>
        </is>
      </c>
    </row>
    <row r="34">
      <c r="A34" t="inlineStr">
        <is>
          <t>Single</t>
        </is>
      </c>
      <c r="B34" t="n">
        <v>0</v>
      </c>
      <c r="C34" t="n">
        <v>0</v>
      </c>
    </row>
    <row r="35">
      <c r="A35" t="inlineStr">
        <is>
          <t>Single</t>
        </is>
      </c>
      <c r="B35" t="n">
        <v>47025</v>
      </c>
      <c r="C35" t="n">
        <v>0.15</v>
      </c>
    </row>
    <row r="36">
      <c r="A36" t="inlineStr">
        <is>
          <t>Single</t>
        </is>
      </c>
      <c r="B36" t="n">
        <v>518900</v>
      </c>
      <c r="C36" t="n">
        <v>0.2</v>
      </c>
    </row>
    <row r="37">
      <c r="A37" t="inlineStr">
        <is>
          <t>MFJ</t>
        </is>
      </c>
      <c r="B37" t="n">
        <v>0</v>
      </c>
      <c r="C37" t="n">
        <v>0</v>
      </c>
    </row>
    <row r="38">
      <c r="A38" t="inlineStr">
        <is>
          <t>MFJ</t>
        </is>
      </c>
      <c r="B38" t="n">
        <v>96700</v>
      </c>
      <c r="C38" t="n">
        <v>0.15</v>
      </c>
    </row>
    <row r="39">
      <c r="A39" t="inlineStr">
        <is>
          <t>MFJ</t>
        </is>
      </c>
      <c r="B39" t="n">
        <v>600050</v>
      </c>
      <c r="C39" t="n">
        <v>0.2</v>
      </c>
    </row>
    <row r="40">
      <c r="A40" t="inlineStr">
        <is>
          <t>MFS</t>
        </is>
      </c>
      <c r="B40" t="n">
        <v>0</v>
      </c>
      <c r="C40" t="n">
        <v>0</v>
      </c>
    </row>
    <row r="41">
      <c r="A41" t="inlineStr">
        <is>
          <t>MFS</t>
        </is>
      </c>
      <c r="B41" t="n">
        <v>48350</v>
      </c>
      <c r="C41" t="n">
        <v>0.15</v>
      </c>
    </row>
    <row r="42">
      <c r="A42" t="inlineStr">
        <is>
          <t>MFS</t>
        </is>
      </c>
      <c r="B42" t="n">
        <v>300000</v>
      </c>
      <c r="C42" t="n">
        <v>0.2</v>
      </c>
    </row>
    <row r="43">
      <c r="A43" t="inlineStr">
        <is>
          <t>HoH</t>
        </is>
      </c>
      <c r="B43" t="n">
        <v>0</v>
      </c>
      <c r="C43" t="n">
        <v>0</v>
      </c>
    </row>
    <row r="44">
      <c r="A44" t="inlineStr">
        <is>
          <t>HoH</t>
        </is>
      </c>
      <c r="B44" t="n">
        <v>64750</v>
      </c>
      <c r="C44" t="n">
        <v>0.15</v>
      </c>
    </row>
    <row r="45">
      <c r="A45" t="inlineStr">
        <is>
          <t>HoH</t>
        </is>
      </c>
      <c r="B45" t="n">
        <v>566700</v>
      </c>
      <c r="C45" t="n">
        <v>0.2</v>
      </c>
    </row>
    <row r="46"/>
    <row r="47">
      <c r="A47" t="inlineStr">
        <is>
          <t>Table C: California FTB Brackets</t>
        </is>
      </c>
    </row>
    <row r="48">
      <c r="A48" t="inlineStr">
        <is>
          <t>Status</t>
        </is>
      </c>
      <c r="B48" t="inlineStr">
        <is>
          <t>Bracket Floor</t>
        </is>
      </c>
      <c r="C48" t="inlineStr">
        <is>
          <t>Base Tax</t>
        </is>
      </c>
      <c r="D48" t="inlineStr">
        <is>
          <t>Marginal Rate</t>
        </is>
      </c>
      <c r="E48" t="inlineStr">
        <is>
          <t>Standard Deduction</t>
        </is>
      </c>
      <c r="F48" t="inlineStr">
        <is>
          <t>MH Surcharge Floor</t>
        </is>
      </c>
    </row>
    <row r="49">
      <c r="A49" t="inlineStr">
        <is>
          <t>Single</t>
        </is>
      </c>
      <c r="B49" t="n">
        <v>0</v>
      </c>
      <c r="C49" t="n">
        <v>0</v>
      </c>
      <c r="D49" t="n">
        <v>0.01</v>
      </c>
      <c r="E49" t="n">
        <v>5706</v>
      </c>
      <c r="F49" t="n">
        <v>1000000</v>
      </c>
    </row>
    <row r="50">
      <c r="A50" t="inlineStr">
        <is>
          <t>Single</t>
        </is>
      </c>
      <c r="B50" t="n">
        <v>11079</v>
      </c>
      <c r="C50" t="n">
        <v>110.79</v>
      </c>
      <c r="D50" t="n">
        <v>0.02</v>
      </c>
      <c r="E50" t="n">
        <v>5706</v>
      </c>
      <c r="F50" t="n">
        <v>1000000</v>
      </c>
    </row>
    <row r="51">
      <c r="A51" t="inlineStr">
        <is>
          <t>Single</t>
        </is>
      </c>
      <c r="B51" t="n">
        <v>26264</v>
      </c>
      <c r="C51" t="n">
        <v>414.49</v>
      </c>
      <c r="D51" t="n">
        <v>0.04</v>
      </c>
      <c r="E51" t="n">
        <v>5706</v>
      </c>
      <c r="F51" t="n">
        <v>1000000</v>
      </c>
    </row>
    <row r="52">
      <c r="A52" t="inlineStr">
        <is>
          <t>Single</t>
        </is>
      </c>
      <c r="B52" t="n">
        <v>41452</v>
      </c>
      <c r="C52" t="n">
        <v>1022.01</v>
      </c>
      <c r="D52" t="n">
        <v>0.06</v>
      </c>
      <c r="E52" t="n">
        <v>5706</v>
      </c>
      <c r="F52" t="n">
        <v>1000000</v>
      </c>
    </row>
    <row r="53">
      <c r="A53" t="inlineStr">
        <is>
          <t>Single</t>
        </is>
      </c>
      <c r="B53" t="n">
        <v>57542</v>
      </c>
      <c r="C53" t="n">
        <v>1987.41</v>
      </c>
      <c r="D53" t="n">
        <v>0.08</v>
      </c>
      <c r="E53" t="n">
        <v>5706</v>
      </c>
      <c r="F53" t="n">
        <v>1000000</v>
      </c>
    </row>
    <row r="54">
      <c r="A54" t="inlineStr">
        <is>
          <t>Single</t>
        </is>
      </c>
      <c r="B54" t="n">
        <v>72724</v>
      </c>
      <c r="C54" t="n">
        <v>3201.97</v>
      </c>
      <c r="D54" t="n">
        <v>0.093</v>
      </c>
      <c r="E54" t="n">
        <v>5706</v>
      </c>
      <c r="F54" t="n">
        <v>1000000</v>
      </c>
    </row>
    <row r="55">
      <c r="A55" t="inlineStr">
        <is>
          <t>Single</t>
        </is>
      </c>
      <c r="B55" t="n">
        <v>371479</v>
      </c>
      <c r="C55" t="n">
        <v>31036.19</v>
      </c>
      <c r="D55" t="n">
        <v>0.103</v>
      </c>
      <c r="E55" t="n">
        <v>5706</v>
      </c>
      <c r="F55" t="n">
        <v>1000000</v>
      </c>
    </row>
    <row r="56">
      <c r="A56" t="inlineStr">
        <is>
          <t>Single</t>
        </is>
      </c>
      <c r="B56" t="n">
        <v>445771</v>
      </c>
      <c r="C56" t="n">
        <v>38688.19</v>
      </c>
      <c r="D56" t="n">
        <v>0.113</v>
      </c>
      <c r="E56" t="n">
        <v>5706</v>
      </c>
      <c r="F56" t="n">
        <v>1000000</v>
      </c>
    </row>
    <row r="57">
      <c r="A57" t="inlineStr">
        <is>
          <t>Single</t>
        </is>
      </c>
      <c r="B57" t="n">
        <v>742953</v>
      </c>
      <c r="C57" t="n">
        <v>72269.75</v>
      </c>
      <c r="D57" t="n">
        <v>0.123</v>
      </c>
      <c r="E57" t="n">
        <v>5706</v>
      </c>
      <c r="F57" t="n">
        <v>1000000</v>
      </c>
    </row>
    <row r="58">
      <c r="A58" t="inlineStr">
        <is>
          <t>MFJ</t>
        </is>
      </c>
      <c r="B58" t="n">
        <v>0</v>
      </c>
      <c r="C58" t="n">
        <v>0</v>
      </c>
      <c r="D58" t="n">
        <v>0.01</v>
      </c>
      <c r="E58" t="n">
        <v>11412</v>
      </c>
      <c r="F58" t="n">
        <v>1000000</v>
      </c>
    </row>
    <row r="59">
      <c r="A59" t="inlineStr">
        <is>
          <t>MFJ</t>
        </is>
      </c>
      <c r="B59" t="n">
        <v>22158</v>
      </c>
      <c r="C59" t="n">
        <v>221.58</v>
      </c>
      <c r="D59" t="n">
        <v>0.02</v>
      </c>
      <c r="E59" t="n">
        <v>11412</v>
      </c>
      <c r="F59" t="n">
        <v>1000000</v>
      </c>
    </row>
    <row r="60">
      <c r="A60" t="inlineStr">
        <is>
          <t>MFJ</t>
        </is>
      </c>
      <c r="B60" t="n">
        <v>52528</v>
      </c>
      <c r="C60" t="n">
        <v>828.98</v>
      </c>
      <c r="D60" t="n">
        <v>0.04</v>
      </c>
      <c r="E60" t="n">
        <v>11412</v>
      </c>
      <c r="F60" t="n">
        <v>1000000</v>
      </c>
    </row>
    <row r="61">
      <c r="A61" t="inlineStr">
        <is>
          <t>MFJ</t>
        </is>
      </c>
      <c r="B61" t="n">
        <v>82904</v>
      </c>
      <c r="C61" t="n">
        <v>2044.02</v>
      </c>
      <c r="D61" t="n">
        <v>0.06</v>
      </c>
      <c r="E61" t="n">
        <v>11412</v>
      </c>
      <c r="F61" t="n">
        <v>1000000</v>
      </c>
    </row>
    <row r="62">
      <c r="A62" t="inlineStr">
        <is>
          <t>MFJ</t>
        </is>
      </c>
      <c r="B62" t="n">
        <v>115084</v>
      </c>
      <c r="C62" t="n">
        <v>3974.82</v>
      </c>
      <c r="D62" t="n">
        <v>0.08</v>
      </c>
      <c r="E62" t="n">
        <v>11412</v>
      </c>
      <c r="F62" t="n">
        <v>1000000</v>
      </c>
    </row>
    <row r="63">
      <c r="A63" t="inlineStr">
        <is>
          <t>MFJ</t>
        </is>
      </c>
      <c r="B63" t="n">
        <v>145448</v>
      </c>
      <c r="C63" t="n">
        <v>6403.94</v>
      </c>
      <c r="D63" t="n">
        <v>0.093</v>
      </c>
      <c r="E63" t="n">
        <v>11412</v>
      </c>
      <c r="F63" t="n">
        <v>1000000</v>
      </c>
    </row>
    <row r="64">
      <c r="A64" t="inlineStr">
        <is>
          <t>MFJ</t>
        </is>
      </c>
      <c r="B64" t="n">
        <v>742958</v>
      </c>
      <c r="C64" t="n">
        <v>61972.37</v>
      </c>
      <c r="D64" t="n">
        <v>0.103</v>
      </c>
      <c r="E64" t="n">
        <v>11412</v>
      </c>
      <c r="F64" t="n">
        <v>1000000</v>
      </c>
    </row>
    <row r="65">
      <c r="A65" t="inlineStr">
        <is>
          <t>MFJ</t>
        </is>
      </c>
      <c r="B65" t="n">
        <v>891542</v>
      </c>
      <c r="C65" t="n">
        <v>77276.52</v>
      </c>
      <c r="D65" t="n">
        <v>0.113</v>
      </c>
      <c r="E65" t="n">
        <v>11412</v>
      </c>
      <c r="F65" t="n">
        <v>1000000</v>
      </c>
    </row>
    <row r="66">
      <c r="A66" t="inlineStr">
        <is>
          <t>MFJ</t>
        </is>
      </c>
      <c r="B66" t="n">
        <v>1485906</v>
      </c>
      <c r="C66" t="n">
        <v>144439.65</v>
      </c>
      <c r="D66" t="n">
        <v>0.123</v>
      </c>
      <c r="E66" t="n">
        <v>11412</v>
      </c>
      <c r="F66" t="n">
        <v>1000000</v>
      </c>
    </row>
    <row r="67">
      <c r="A67" t="inlineStr">
        <is>
          <t>HoH</t>
        </is>
      </c>
      <c r="B67" t="n">
        <v>0</v>
      </c>
      <c r="C67" t="n">
        <v>0</v>
      </c>
      <c r="D67" t="n">
        <v>0.01</v>
      </c>
      <c r="E67" t="n">
        <v>11412</v>
      </c>
      <c r="F67" t="n">
        <v>1000000</v>
      </c>
    </row>
    <row r="68">
      <c r="A68" t="inlineStr">
        <is>
          <t>HoH</t>
        </is>
      </c>
      <c r="B68" t="n">
        <v>22173</v>
      </c>
      <c r="C68" t="n">
        <v>221.73</v>
      </c>
      <c r="D68" t="n">
        <v>0.02</v>
      </c>
      <c r="E68" t="n">
        <v>11412</v>
      </c>
      <c r="F68" t="n">
        <v>1000000</v>
      </c>
    </row>
    <row r="69">
      <c r="A69" t="inlineStr">
        <is>
          <t>HoH</t>
        </is>
      </c>
      <c r="B69" t="n">
        <v>52530</v>
      </c>
      <c r="C69" t="n">
        <v>828.87</v>
      </c>
      <c r="D69" t="n">
        <v>0.04</v>
      </c>
      <c r="E69" t="n">
        <v>11412</v>
      </c>
      <c r="F69" t="n">
        <v>1000000</v>
      </c>
    </row>
    <row r="70">
      <c r="A70" t="inlineStr">
        <is>
          <t>HoH</t>
        </is>
      </c>
      <c r="B70" t="n">
        <v>67716</v>
      </c>
      <c r="C70" t="n">
        <v>1436.31</v>
      </c>
      <c r="D70" t="n">
        <v>0.06</v>
      </c>
      <c r="E70" t="n">
        <v>11412</v>
      </c>
      <c r="F70" t="n">
        <v>1000000</v>
      </c>
    </row>
    <row r="71">
      <c r="A71" t="inlineStr">
        <is>
          <t>HoH</t>
        </is>
      </c>
      <c r="B71" t="n">
        <v>83804</v>
      </c>
      <c r="C71" t="n">
        <v>2401.59</v>
      </c>
      <c r="D71" t="n">
        <v>0.08</v>
      </c>
      <c r="E71" t="n">
        <v>11412</v>
      </c>
      <c r="F71" t="n">
        <v>1000000</v>
      </c>
    </row>
    <row r="72">
      <c r="A72" t="inlineStr">
        <is>
          <t>HoH</t>
        </is>
      </c>
      <c r="B72" t="n">
        <v>98990</v>
      </c>
      <c r="C72" t="n">
        <v>3616.47</v>
      </c>
      <c r="D72" t="n">
        <v>0.093</v>
      </c>
      <c r="E72" t="n">
        <v>11412</v>
      </c>
      <c r="F72" t="n">
        <v>1000000</v>
      </c>
    </row>
    <row r="73">
      <c r="A73" t="inlineStr">
        <is>
          <t>HoH</t>
        </is>
      </c>
      <c r="B73" t="n">
        <v>505208</v>
      </c>
      <c r="C73" t="n">
        <v>41394.74</v>
      </c>
      <c r="D73" t="n">
        <v>0.103</v>
      </c>
      <c r="E73" t="n">
        <v>11412</v>
      </c>
      <c r="F73" t="n">
        <v>1000000</v>
      </c>
    </row>
    <row r="74">
      <c r="A74" t="inlineStr">
        <is>
          <t>HoH</t>
        </is>
      </c>
      <c r="B74" t="n">
        <v>606251</v>
      </c>
      <c r="C74" t="n">
        <v>51802.17</v>
      </c>
      <c r="D74" t="n">
        <v>0.113</v>
      </c>
      <c r="E74" t="n">
        <v>11412</v>
      </c>
      <c r="F74" t="n">
        <v>1000000</v>
      </c>
    </row>
    <row r="75">
      <c r="A75" t="inlineStr">
        <is>
          <t>HoH</t>
        </is>
      </c>
      <c r="B75" t="n">
        <v>1010417</v>
      </c>
      <c r="C75" t="n">
        <v>97472.92999999999</v>
      </c>
      <c r="D75" t="n">
        <v>0.123</v>
      </c>
      <c r="E75" t="n">
        <v>11412</v>
      </c>
      <c r="F75" t="n">
        <v>1000000</v>
      </c>
    </row>
    <row r="76"/>
    <row r="77">
      <c r="A77" t="inlineStr">
        <is>
          <t>Table D: Surtaxes &amp; Phaseouts</t>
        </is>
      </c>
    </row>
    <row r="78">
      <c r="A78" t="inlineStr">
        <is>
          <t>Status</t>
        </is>
      </c>
      <c r="B78" t="inlineStr">
        <is>
          <t>NIIT Threshold</t>
        </is>
      </c>
      <c r="C78" t="inlineStr">
        <is>
          <t>Addl Medicare</t>
        </is>
      </c>
      <c r="D78" t="inlineStr">
        <is>
          <t>CTC Phaseout Start</t>
        </is>
      </c>
    </row>
    <row r="79">
      <c r="A79" t="inlineStr">
        <is>
          <t>Single</t>
        </is>
      </c>
      <c r="B79" t="n">
        <v>200000</v>
      </c>
      <c r="C79" t="n">
        <v>200000</v>
      </c>
      <c r="D79" t="n">
        <v>200000</v>
      </c>
    </row>
    <row r="80">
      <c r="A80" t="inlineStr">
        <is>
          <t>MFJ</t>
        </is>
      </c>
      <c r="B80" t="n">
        <v>250000</v>
      </c>
      <c r="C80" t="n">
        <v>250000</v>
      </c>
      <c r="D80" t="n">
        <v>400000</v>
      </c>
    </row>
    <row r="81">
      <c r="A81" t="inlineStr">
        <is>
          <t>MFS</t>
        </is>
      </c>
      <c r="B81" t="n">
        <v>125000</v>
      </c>
      <c r="C81" t="n">
        <v>125000</v>
      </c>
      <c r="D81" t="n">
        <v>200000</v>
      </c>
    </row>
    <row r="82">
      <c r="A82" t="inlineStr">
        <is>
          <t>HoH</t>
        </is>
      </c>
      <c r="B82" t="n">
        <v>200000</v>
      </c>
      <c r="C82" t="n">
        <v>200000</v>
      </c>
      <c r="D82" t="n">
        <v>200000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2026-04-08T16:54:37Z</dcterms:created>
  <dcterms:modified xsi:type="dcterms:W3CDTF">2026-04-08T16:54:37Z</dcterms:modified>
</cp:coreProperties>
</file>