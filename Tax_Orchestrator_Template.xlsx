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ashboard" sheetId="2" state="visible" r:id="rId2"/>
    <sheet name="Investment Income Snapshots" sheetId="3" state="visible" r:id="rId3"/>
    <sheet name="Wage Snapshots" sheetId="4" state="visible" r:id="rId4"/>
    <sheet name="Tax Consta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mm/dd/yyyy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2F75B5"/>
        <bgColor rgb="002F75B5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2" fillId="3" borderId="0" pivotButton="0" quotePrefix="0" xfId="0"/>
    <xf numFmtId="164" fontId="2" fillId="3" borderId="0" pivotButton="0" quotePrefix="0" xfId="0"/>
    <xf numFmtId="0" fontId="2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165" fontId="0" fillId="3" borderId="0" pivotButton="0" quotePrefix="0" xfId="0"/>
    <xf numFmtId="1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Ross Wait</author>
  </authors>
  <commentList>
    <comment ref="D1" authorId="0" shapeId="0">
      <text>
        <t>Estimated Tax Payments Ledger: Record all tax payments made OUTSIDE of your W-2 withholding here. This is the source of truth for clearing shortfalls in the Action Center.</t>
      </text>
    </comment>
    <comment ref="E2" authorId="0" shapeId="0">
      <text>
        <t>Calculated Estimate: The target amount recommended by the orchestrator based on pro-rated future projections.</t>
      </text>
    </comment>
    <comment ref="F2" authorId="0" shapeId="0">
      <text>
        <t>Actual Payment Made: IMPORTANT: Enter the actual dollar amount sent to the IRS/FTB. This value is subtracted from your 'DUE NOW' totals.</t>
      </text>
    </comment>
    <comment ref="G2" authorId="0" shapeId="0">
      <text>
        <t>Note: Use this to track voucher numbers, payment confirmation IDs, or intended quarters.</t>
      </text>
    </comment>
    <comment ref="B4" authorId="0" shapeId="0">
      <text>
        <t>Safe Harbor (Fed): Enter your total tax from last year's Form 1040 (Line 24 minus Line 19).</t>
      </text>
    </comment>
    <comment ref="B5" authorId="0" shapeId="0">
      <text>
        <t>Safe Harbor (CA): Enter your total tax from last year's Form 540.</t>
      </text>
    </comment>
    <comment ref="B12" authorId="0" shapeId="0">
      <text>
        <t>Manual Offset: Adjust total income for one-off events (bonuses, sabbaticals) that aren't recurring in your snapshots.</t>
      </text>
    </comment>
    <comment ref="B13" authorId="0" shapeId="0">
      <text>
        <t>Weight: 1.0 = normal. &lt; 1.0 reduces projected future income. &gt; 1.0 increases it.</t>
      </text>
    </comment>
    <comment ref="I15" authorId="0" shapeId="0">
      <text>
        <t>Diagnostics: A real-time verification of your tax health. Check effective rates to see your blended tax burden.</t>
      </text>
    </comment>
    <comment ref="I18" authorId="0" shapeId="0">
      <text>
        <t>Effective Fed Rate: Total projected Federal Tax divided by Federal AGI. (Standardized against Fed AGI for comparability).</t>
      </text>
    </comment>
    <comment ref="I19" authorId="0" shapeId="0">
      <text>
        <t>Effective CA Rate: Total projected California Tax divided by Federal AGI. (Standardized against Fed AGI for comparability).</t>
      </text>
    </comment>
    <comment ref="I28" authorId="0" shapeId="0">
      <text>
        <t>HSA Audit: Ensures HSA contributions are effectively added back to California income (as they are not state-level deductions).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Universal Tax Orchestrator - Quick Start Guide</t>
        </is>
      </c>
    </row>
    <row r="2">
      <c r="A2" s="2" t="inlineStr"/>
    </row>
    <row r="3">
      <c r="A3" s="2" t="inlineStr">
        <is>
          <t>Step 1: Enter your latest YTD paystub details in the 'Wage Snapshots' tab.</t>
        </is>
      </c>
    </row>
    <row r="4">
      <c r="A4" s="2" t="inlineStr">
        <is>
          <t>Step 2: Enter your latest YTD brokerage totals in 'Investment Income Snapshots'.</t>
        </is>
      </c>
    </row>
    <row r="5">
      <c r="A5" s="2" t="inlineStr">
        <is>
          <t>Step 3: Enter your 'Prior Year Tax' liability in the Dashboard (Section 1) to enable Safe Harbor targets.</t>
        </is>
      </c>
    </row>
    <row r="6">
      <c r="A6" s="1" t="inlineStr">
        <is>
          <t>Step 4: Check the 'PAYMENT ACTION CENTER' on the Dashboard for immediate payment requirements.</t>
        </is>
      </c>
    </row>
    <row r="7">
      <c r="A7" s="2" t="inlineStr"/>
    </row>
    <row r="8">
      <c r="A8" s="2" t="inlineStr">
        <is>
          <t>IMPORTANT NOTES &amp; SIMPLIFICATIONS:</t>
        </is>
      </c>
    </row>
    <row r="9">
      <c r="A9" s="2" t="inlineStr">
        <is>
          <t>1. Investment Income: All dividends and interest are combined and taxed as Ordinary Income for a safe, conservative projection.</t>
        </is>
      </c>
    </row>
    <row r="10">
      <c r="A10" s="2" t="inlineStr">
        <is>
          <t>2. HSA (California): HSA contributions are automatically added back to CA state income as they are not deductible in California.</t>
        </is>
      </c>
    </row>
    <row r="11">
      <c r="A11" s="1" t="inlineStr">
        <is>
          <t>3. Burn Rate Projections: The engine pro-rates your remaining annual income based on the days elapsed between Jan 1 and your latest snapshot date.</t>
        </is>
      </c>
    </row>
    <row r="12">
      <c r="A12" s="2" t="inlineStr">
        <is>
          <t>4. YTD Methodology: Always use Year-to-Date (YTD) totals from your statements. Overwrite existing rows as new statements arrive.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28" customWidth="1" min="4" max="4"/>
    <col width="21" customWidth="1" min="5" max="5"/>
    <col width="21" customWidth="1" min="6" max="6"/>
    <col width="12" customWidth="1" min="7" max="7"/>
    <col width="12" customWidth="1" min="8" max="8"/>
    <col width="23" customWidth="1" min="9" max="9"/>
    <col width="12" customWidth="1" min="10" max="10"/>
  </cols>
  <sheetData>
    <row r="1">
      <c r="A1" s="1" t="inlineStr">
        <is>
          <t>Configuration</t>
        </is>
      </c>
      <c r="D1" s="1" t="inlineStr">
        <is>
          <t>Estimated Tax Payments Ledger</t>
        </is>
      </c>
      <c r="I1" s="1" t="inlineStr">
        <is>
          <t>PAYMENT ACTION CENTER</t>
        </is>
      </c>
    </row>
    <row r="2">
      <c r="A2" s="2" t="inlineStr">
        <is>
          <t>Filing Status (Single)</t>
        </is>
      </c>
      <c r="B2" s="3" t="inlineStr">
        <is>
          <t>Single</t>
        </is>
      </c>
      <c r="D2" s="2" t="inlineStr">
        <is>
          <t>Date</t>
        </is>
      </c>
      <c r="E2" s="2" t="inlineStr">
        <is>
          <t>Calculated Estimate</t>
        </is>
      </c>
      <c r="F2" s="2" t="inlineStr">
        <is>
          <t>Actual Payment Made</t>
        </is>
      </c>
      <c r="G2" s="2" t="inlineStr">
        <is>
          <t>Note</t>
        </is>
      </c>
      <c r="I2" s="4" t="inlineStr">
        <is>
          <t>FED DUE NOW:</t>
        </is>
      </c>
      <c r="J2" s="5">
        <f>IFS(B9&lt;=DATE(B8,4,15), C55, B9&lt;=DATE(B8,6,15), C56, B9&lt;=DATE(B8,9,15), C57, TRUE, C58)</f>
        <v/>
      </c>
    </row>
    <row r="3">
      <c r="A3" s="2" t="inlineStr">
        <is>
          <t>Dependents (Under 17)</t>
        </is>
      </c>
      <c r="B3" s="3" t="n">
        <v>0</v>
      </c>
      <c r="D3" s="6" t="inlineStr">
        <is>
          <t>04/15/2026</t>
        </is>
      </c>
      <c r="E3" s="7" t="n"/>
      <c r="F3" s="7" t="n"/>
      <c r="G3" s="8" t="inlineStr">
        <is>
          <t>Fed Q1</t>
        </is>
      </c>
      <c r="I3" s="2" t="inlineStr">
        <is>
          <t>BY DEADLINE:</t>
        </is>
      </c>
      <c r="J3">
        <f>IFS(B9&lt;=DATE(B8,4,15), "04/15/"&amp;B8, B9&lt;=DATE(B8,6,15), "06/15/"&amp;B8, B9&lt;=DATE(B8,9,15), "09/15/"&amp;B8, TRUE, "01/15/"&amp;(B8+1))</f>
        <v/>
      </c>
    </row>
    <row r="4">
      <c r="A4" s="2" t="inlineStr">
        <is>
          <t>Prior Year Fed Tax (Safe Harbor)</t>
        </is>
      </c>
      <c r="B4" s="9" t="n">
        <v>0</v>
      </c>
      <c r="D4" s="6" t="inlineStr">
        <is>
          <t>04/15/2026</t>
        </is>
      </c>
      <c r="E4" s="7" t="n"/>
      <c r="F4" s="7" t="n"/>
      <c r="G4" s="8" t="inlineStr">
        <is>
          <t>CA Q1</t>
        </is>
      </c>
      <c r="I4" s="2" t="inlineStr">
        <is>
          <t>Next FED Target:</t>
        </is>
      </c>
      <c r="J4" s="10">
        <f>IFS(B9&lt;=DATE(B8,4,15), B55, B9&lt;=DATE(B8,6,15), B56, B9&lt;=DATE(B8,9,15), B57, TRUE, B58)</f>
        <v/>
      </c>
    </row>
    <row r="5">
      <c r="A5" s="2" t="inlineStr">
        <is>
          <t>Prior Year CA Tax (Safe Harbor)</t>
        </is>
      </c>
      <c r="B5" s="9" t="n">
        <v>0</v>
      </c>
      <c r="D5" s="6" t="inlineStr">
        <is>
          <t>06/15/2026</t>
        </is>
      </c>
      <c r="E5" s="7" t="n"/>
      <c r="F5" s="7" t="n"/>
      <c r="G5" s="8" t="inlineStr">
        <is>
          <t>Fed Q2</t>
        </is>
      </c>
      <c r="I5" s="2" t="inlineStr">
        <is>
          <t>FED Payments YTD:</t>
        </is>
      </c>
      <c r="J5" s="10">
        <f>B50</f>
        <v/>
      </c>
    </row>
    <row r="6">
      <c r="A6" s="2" t="inlineStr">
        <is>
          <t>Estimated Fed Itemized Deduction</t>
        </is>
      </c>
      <c r="B6" s="9" t="n">
        <v>0</v>
      </c>
      <c r="D6" s="6" t="inlineStr">
        <is>
          <t>06/15/2026</t>
        </is>
      </c>
      <c r="E6" s="7" t="n"/>
      <c r="F6" s="7" t="n"/>
      <c r="G6" s="8" t="inlineStr">
        <is>
          <t>CA Q2</t>
        </is>
      </c>
      <c r="I6" s="2" t="inlineStr">
        <is>
          <t>FED Status:</t>
        </is>
      </c>
      <c r="J6">
        <f>IF(J5&gt;=J4, "✅ Met (Surplus: " &amp; TEXT(J5-J4, "$#,##0") &amp; ")", "🔴 Shortfall (" &amp; TEXT(J4-J5, "$#,##0") &amp; ")")</f>
        <v/>
      </c>
    </row>
    <row r="7">
      <c r="A7" s="2" t="inlineStr">
        <is>
          <t>Estimated CA Itemized Deduction</t>
        </is>
      </c>
      <c r="B7" s="9" t="n">
        <v>0</v>
      </c>
      <c r="D7" s="6" t="inlineStr">
        <is>
          <t>09/15/2026</t>
        </is>
      </c>
      <c r="E7" s="7" t="n"/>
      <c r="F7" s="7" t="n"/>
      <c r="G7" s="8" t="inlineStr">
        <is>
          <t>Fed Q3</t>
        </is>
      </c>
      <c r="I7" s="2" t="n"/>
    </row>
    <row r="8">
      <c r="A8" s="2" t="inlineStr">
        <is>
          <t>Tax Year</t>
        </is>
      </c>
      <c r="B8" s="3" t="n">
        <v>2026</v>
      </c>
      <c r="D8" s="6" t="inlineStr">
        <is>
          <t>09/15/2026</t>
        </is>
      </c>
      <c r="E8" s="7" t="n"/>
      <c r="F8" s="7" t="n"/>
      <c r="G8" s="8" t="inlineStr">
        <is>
          <t>CA Q3</t>
        </is>
      </c>
      <c r="I8" s="4" t="inlineStr">
        <is>
          <t>CA DUE NOW:</t>
        </is>
      </c>
      <c r="J8" s="5">
        <f>IFS(B9&lt;=DATE(B8,4,15), C61, B9&lt;=DATE(B8,6,15), C62, B9&lt;=DATE(B8,9,15), C63, TRUE, C64)</f>
        <v/>
      </c>
    </row>
    <row r="9">
      <c r="A9" s="2" t="inlineStr">
        <is>
          <t>Status Date</t>
        </is>
      </c>
      <c r="B9" s="11">
        <f>TODAY()</f>
        <v/>
      </c>
      <c r="D9" s="6" t="inlineStr">
        <is>
          <t>01/15/2027</t>
        </is>
      </c>
      <c r="E9" s="7" t="n"/>
      <c r="F9" s="7" t="n"/>
      <c r="G9" s="8" t="inlineStr">
        <is>
          <t>Fed Q4</t>
        </is>
      </c>
      <c r="I9" s="2" t="inlineStr">
        <is>
          <t>BY DEADLINE:</t>
        </is>
      </c>
      <c r="J9">
        <f>IFS(B9&lt;=DATE(B8,4,15), "04/15/"&amp;B8, B9&lt;=DATE(B8,6,15), "06/15/"&amp;B8, B9&lt;=DATE(B8,9,15), "09/15/"&amp;B8, TRUE, "01/15/"&amp;(B8+1))</f>
        <v/>
      </c>
    </row>
    <row r="10">
      <c r="A10" s="2" t="n"/>
      <c r="D10" s="6" t="inlineStr">
        <is>
          <t>01/15/2027</t>
        </is>
      </c>
      <c r="E10" s="7" t="n"/>
      <c r="F10" s="7" t="n"/>
      <c r="G10" s="8" t="inlineStr">
        <is>
          <t>CA Q4</t>
        </is>
      </c>
      <c r="I10" s="2" t="inlineStr">
        <is>
          <t>Next CA Target:</t>
        </is>
      </c>
      <c r="J10" s="10">
        <f>IFS(B9&lt;=DATE(B8,4,15), B61, B9&lt;=DATE(B8,6,15), B62, B9&lt;=DATE(B8,9,15), B63, TRUE, B64)</f>
        <v/>
      </c>
    </row>
    <row r="11">
      <c r="A11" s="1" t="inlineStr">
        <is>
          <t>Projection &amp; Assumptions</t>
        </is>
      </c>
      <c r="D11" s="2" t="n"/>
      <c r="I11" s="2" t="inlineStr">
        <is>
          <t>CA Payments YTD:</t>
        </is>
      </c>
      <c r="J11" s="10">
        <f>B52</f>
        <v/>
      </c>
    </row>
    <row r="12">
      <c r="A12" s="2" t="inlineStr">
        <is>
          <t>Manual Income Offset ($)</t>
        </is>
      </c>
      <c r="B12" s="9" t="n">
        <v>0</v>
      </c>
      <c r="D12" s="2" t="n"/>
      <c r="I12" s="2" t="inlineStr">
        <is>
          <t>CA Status:</t>
        </is>
      </c>
      <c r="J12">
        <f>IF(J11&gt;=J10, "✅ Met (Surplus: " &amp; TEXT(J11-J10, "$#,##0") &amp; ")", "🔴 Shortfall (" &amp; TEXT(J10-J11, "$#,##0") &amp; ")")</f>
        <v/>
      </c>
    </row>
    <row r="13">
      <c r="A13" s="2" t="inlineStr">
        <is>
          <t>Future Income Weight (%)</t>
        </is>
      </c>
      <c r="B13" s="12" t="n">
        <v>1</v>
      </c>
      <c r="D13" s="2" t="n"/>
      <c r="I13" s="2" t="n"/>
    </row>
    <row r="14">
      <c r="A14" s="2" t="inlineStr">
        <is>
          <t>Remaining Year Wage Income</t>
        </is>
      </c>
      <c r="B14" s="9">
        <f>IF(MAX('Wage Snapshots'!A:A)=0, 0, (SUM('Wage Snapshots'!B:B) / MAX(1, MAX('Wage Snapshots'!A:A) - DATE(B8,1,1))) * (DATE(B8,12,31) - MAX('Wage Snapshots'!A:A)))</f>
        <v/>
      </c>
      <c r="D14" s="2" t="n"/>
      <c r="I14" s="2" t="n"/>
    </row>
    <row r="15">
      <c r="A15" s="2" t="inlineStr">
        <is>
          <t>Remaining Year Deductions</t>
        </is>
      </c>
      <c r="B15" s="9">
        <f>IF(MAX('Wage Snapshots'!A:A)=0, 0, (SUM('Wage Snapshots'!C:D) / MAX(1, MAX('Wage Snapshots'!A:A) - DATE(B8,1,1))) * (DATE(B8,12,31) - MAX('Wage Snapshots'!A:A)))</f>
        <v/>
      </c>
      <c r="D15" s="2" t="n"/>
      <c r="I15" s="1" t="inlineStr">
        <is>
          <t>TAX DIAGNOSTICS</t>
        </is>
      </c>
    </row>
    <row r="16">
      <c r="A16" s="2" t="n"/>
      <c r="D16" s="2" t="n"/>
      <c r="I16" s="2" t="inlineStr">
        <is>
          <t>Fed Target Method:</t>
        </is>
      </c>
      <c r="J16">
        <f>IF(B4=0, "90% Forecast", IF(B46*0.9 &lt; B4*1.1, "90% Forecast", "110% Safe Harbor"))</f>
        <v/>
      </c>
    </row>
    <row r="17">
      <c r="A17" s="1" t="inlineStr">
        <is>
          <t>Consolidated Income Projection</t>
        </is>
      </c>
      <c r="D17" s="2" t="n"/>
      <c r="I17" s="2" t="inlineStr">
        <is>
          <t>CA Target Method:</t>
        </is>
      </c>
      <c r="J17">
        <f>IF(B5=0, "80% Forecast", IF(B37*0.8 &lt; B5*1.1, "80% Forecast", "110% Safe Harbor"))</f>
        <v/>
      </c>
    </row>
    <row r="18">
      <c r="A18" s="2" t="inlineStr">
        <is>
          <t>Total Projected Wage Income</t>
        </is>
      </c>
      <c r="B18" s="10">
        <f>SUM('Wage Snapshots'!B:B) + (B14 * B13) + B12</f>
        <v/>
      </c>
      <c r="D18" s="2" t="n"/>
      <c r="I18" s="2" t="inlineStr">
        <is>
          <t>Effective Fed Rate:</t>
        </is>
      </c>
      <c r="J18" s="13">
        <f>B46 / MAX(1, B23)</f>
        <v/>
      </c>
    </row>
    <row r="19">
      <c r="A19" s="2" t="inlineStr">
        <is>
          <t>Federal W-2 State Wages</t>
        </is>
      </c>
      <c r="B19" s="10">
        <f>B18 - SUM('Wage Snapshots'!C:D) - (B15 * B13)</f>
        <v/>
      </c>
      <c r="D19" s="2" t="n"/>
      <c r="I19" s="2" t="inlineStr">
        <is>
          <t>Effective CA Rate:</t>
        </is>
      </c>
      <c r="J19" s="13">
        <f>B37 / MAX(1, B23)</f>
        <v/>
      </c>
    </row>
    <row r="20">
      <c r="A20" s="2" t="inlineStr">
        <is>
          <t>CA W-2 State Wages</t>
        </is>
      </c>
      <c r="B20" s="10">
        <f>B18 - SUM('Wage Snapshots'!C:C) - (SUM('Wage Snapshots'!C:C)/MAX(1, SUM('Wage Snapshots'!C:D))) * B15 * B13</f>
        <v/>
      </c>
      <c r="D20" s="2" t="n"/>
      <c r="I20" s="2" t="inlineStr">
        <is>
          <t>Marginal Fed Bracket:</t>
        </is>
      </c>
      <c r="J20" s="13">
        <f>XLOOKUP(B28, FILTER('Tax Constants'!B3:B30, 'Tax Constants'!A3:A30=B2), FILTER('Tax Constants'!D3:D30, 'Tax Constants'!A3:A30=B2), 0, -1)</f>
        <v/>
      </c>
    </row>
    <row r="21">
      <c r="A21" s="2" t="inlineStr">
        <is>
          <t>Investment Ordinary (Div/Int + STG)</t>
        </is>
      </c>
      <c r="B21" s="10">
        <f>SUM('Investment Income Snapshots'!C:C) + SUM('Investment Income Snapshots'!D:D)</f>
        <v/>
      </c>
      <c r="D21" s="2" t="n"/>
      <c r="I21" s="2" t="inlineStr">
        <is>
          <t>Marginal CA Bracket:</t>
        </is>
      </c>
      <c r="J21" s="13">
        <f>XLOOKUP(B34, FILTER('Tax Constants'!B49:B84, 'Tax Constants'!A49:A84=B2), FILTER('Tax Constants'!D49:D84, 'Tax Constants'!A49:A84=B2), 0, -1)</f>
        <v/>
      </c>
    </row>
    <row r="22">
      <c r="A22" s="2" t="inlineStr">
        <is>
          <t>Investment Preferential (LTG Only)</t>
        </is>
      </c>
      <c r="B22" s="10">
        <f>SUM('Investment Income Snapshots'!E:E)</f>
        <v/>
      </c>
      <c r="D22" s="2" t="n"/>
      <c r="I22" s="2" t="inlineStr">
        <is>
          <t>Deduction Applied:</t>
        </is>
      </c>
      <c r="J22">
        <f>IF(B6&gt;XLOOKUP(B2, 'Tax Constants'!A3:A30, 'Tax Constants'!E3:E30, 0), "ITEMIZED", "STANDARD")</f>
        <v/>
      </c>
    </row>
    <row r="23">
      <c r="A23" s="2" t="inlineStr">
        <is>
          <t>Total Projected Federal AGI</t>
        </is>
      </c>
      <c r="B23" s="10">
        <f>B19 + B21 + B22</f>
        <v/>
      </c>
      <c r="D23" s="2" t="n"/>
      <c r="I23" s="2" t="n"/>
    </row>
    <row r="24">
      <c r="A24" s="2" t="inlineStr">
        <is>
          <t>Total Projected CA AGI</t>
        </is>
      </c>
      <c r="B24" s="10">
        <f>B20 + B21 + B22</f>
        <v/>
      </c>
      <c r="D24" s="2" t="n"/>
      <c r="I24" s="2" t="n"/>
    </row>
    <row r="25">
      <c r="A25" s="2" t="n"/>
      <c r="D25" s="2" t="n"/>
      <c r="I25" s="1" t="inlineStr">
        <is>
          <t>ACTIVE WARNINGS</t>
        </is>
      </c>
    </row>
    <row r="26">
      <c r="A26" s="1" t="inlineStr">
        <is>
          <t>Federal Tax Calculation</t>
        </is>
      </c>
      <c r="D26" s="2" t="n"/>
      <c r="I26" s="2" t="inlineStr">
        <is>
          <t>Stale Snapshots:</t>
        </is>
      </c>
      <c r="J26">
        <f>IF(OR(MAX('Wage Snapshots'!A:A)=0, (B9 - MAX('Wage Snapshots'!A:A)) &gt; 30), "!!! 30+ DAYS OLD !!!", "OK")</f>
        <v/>
      </c>
    </row>
    <row r="27">
      <c r="A27" s="2" t="inlineStr">
        <is>
          <t>Deduction Applied (Max Std/Item)</t>
        </is>
      </c>
      <c r="B27" s="10">
        <f>MAX(XLOOKUP(B2, 'Tax Constants'!A3:A30, 'Tax Constants'!E3:E30, 0), B6)</f>
        <v/>
      </c>
      <c r="D27" s="2" t="n"/>
      <c r="I27" s="2" t="inlineStr">
        <is>
          <t>Prior Year Data:</t>
        </is>
      </c>
      <c r="J27">
        <f>IF(B4=0, "WARNING: FED MISSING", "OK")</f>
        <v/>
      </c>
    </row>
    <row r="28">
      <c r="A28" s="2" t="inlineStr">
        <is>
          <t>Ordinary Taxable Income</t>
        </is>
      </c>
      <c r="B28" s="10">
        <f>MAX(0, B23 - B27 - B22)</f>
        <v/>
      </c>
      <c r="D28" s="2" t="n"/>
      <c r="I28" s="2" t="inlineStr">
        <is>
          <t>HSA Audit (CA):</t>
        </is>
      </c>
      <c r="J28">
        <f>IF(B20=B19, "🔴 ERR: HSA NOT ADDED TO CA", "✅ HSA Corrected (CA)")</f>
        <v/>
      </c>
    </row>
    <row r="29">
      <c r="A29" s="2" t="inlineStr">
        <is>
          <t>Ordinary Income Tax</t>
        </is>
      </c>
      <c r="B29" s="10">
        <f>XLOOKUP(B28, FILTER('Tax Constants'!B3:B30, 'Tax Constants'!A3:A30=B2), FILTER('Tax Constants'!C3:C30, 'Tax Constants'!A3:A30=B2), 0, -1) + (B28 - XLOOKUP(B28, FILTER('Tax Constants'!B3:B30, 'Tax Constants'!A3:A30=B2), FILTER('Tax Constants'!B3:B30, 'Tax Constants'!A3:A30=B2), 0, -1)) * XLOOKUP(B28, FILTER('Tax Constants'!B3:B30, 'Tax Constants'!A3:A30=B2), FILTER('Tax Constants'!D3:D30, 'Tax Constants'!A3:A30=B2), 0, -1)</f>
        <v/>
      </c>
      <c r="D29" s="2" t="n"/>
      <c r="I29" s="2" t="n"/>
    </row>
    <row r="30">
      <c r="A30" s="2" t="inlineStr">
        <is>
          <t>Capital Gains Tax</t>
        </is>
      </c>
      <c r="B30" s="10">
        <f>IF(B22&gt;0, B22 * XLOOKUP(B28+B22, FILTER('Tax Constants'!B34:B45, 'Tax Constants'!A34:A45=B2), FILTER('Tax Constants'!C34:C45, 'Tax Constants'!A34:A45=B2), 0, -1), 0)</f>
        <v/>
      </c>
      <c r="D30" s="2" t="n"/>
      <c r="I30" s="2" t="n"/>
    </row>
    <row r="31">
      <c r="A31" s="2" t="n"/>
      <c r="D31" s="2" t="n"/>
      <c r="I31" s="2" t="n"/>
    </row>
    <row r="32">
      <c r="A32" s="1" t="inlineStr">
        <is>
          <t>CA Tax Calculation</t>
        </is>
      </c>
      <c r="D32" s="2" t="n"/>
      <c r="I32" s="2" t="n"/>
    </row>
    <row r="33">
      <c r="A33" s="2" t="inlineStr">
        <is>
          <t>CA Deduction Applied</t>
        </is>
      </c>
      <c r="B33" s="10">
        <f>MAX(XLOOKUP(B2, 'Tax Constants'!A49:A84, 'Tax Constants'!E49:E84, 0), B7)</f>
        <v/>
      </c>
      <c r="D33" s="2" t="n"/>
      <c r="I33" s="2" t="n"/>
    </row>
    <row r="34">
      <c r="A34" s="2" t="inlineStr">
        <is>
          <t>CA Taxable Income</t>
        </is>
      </c>
      <c r="B34" s="10">
        <f>MAX(0, B24 - B33)</f>
        <v/>
      </c>
      <c r="D34" s="2" t="n"/>
      <c r="I34" s="2" t="n"/>
    </row>
    <row r="35">
      <c r="A35" s="2" t="inlineStr">
        <is>
          <t>CA Regular Tax</t>
        </is>
      </c>
      <c r="B35" s="10">
        <f>XLOOKUP(B34, FILTER('Tax Constants'!B49:B84, 'Tax Constants'!A49:A84=B2), FILTER('Tax Constants'!C49:C84, 'Tax Constants'!A49:A84=B2), 0, -1) + (B34 - XLOOKUP(B34, FILTER('Tax Constants'!B49:B84, 'Tax Constants'!A49:A84=B2), FILTER('Tax Constants'!B49:B84, 'Tax Constants'!A49:A84=B2), 0, -1)) * XLOOKUP(B34, FILTER('Tax Constants'!B49:B84, 'Tax Constants'!A49:A84=B2), FILTER('Tax Constants'!D49:D84, 'Tax Constants'!A49:A84=B2), 0, -1)</f>
        <v/>
      </c>
      <c r="D35" s="2" t="n"/>
      <c r="I35" s="2" t="n"/>
    </row>
    <row r="36">
      <c r="A36" s="2" t="inlineStr">
        <is>
          <t>CA MH Surcharge (1%)</t>
        </is>
      </c>
      <c r="B36" s="10">
        <f>IF(B34 &gt; 1000000, (B34 - 1000000) * 0.01, 0)</f>
        <v/>
      </c>
      <c r="D36" s="2" t="n"/>
      <c r="I36" s="2" t="n"/>
    </row>
    <row r="37">
      <c r="A37" s="2" t="inlineStr">
        <is>
          <t>Total CA Liability</t>
        </is>
      </c>
      <c r="B37" s="10">
        <f>B35 + B36</f>
        <v/>
      </c>
      <c r="D37" s="2" t="n"/>
      <c r="I37" s="2" t="n"/>
    </row>
    <row r="38">
      <c r="A38" s="2" t="n"/>
      <c r="D38" s="2" t="n"/>
      <c r="I38" s="2" t="n"/>
    </row>
    <row r="39">
      <c r="A39" s="2" t="inlineStr">
        <is>
          <t>Final Liability &amp; Surtaxes</t>
        </is>
      </c>
      <c r="D39" s="2" t="n"/>
      <c r="I39" s="2" t="n"/>
    </row>
    <row r="40">
      <c r="A40" s="2" t="inlineStr">
        <is>
          <t>NIIT Threshold</t>
        </is>
      </c>
      <c r="B40" s="10">
        <f>XLOOKUP(B2, 'Tax Constants'!A88:A91, 'Tax Constants'!B88:B91, 200000)</f>
        <v/>
      </c>
      <c r="D40" s="2" t="n"/>
      <c r="I40" s="2" t="n"/>
    </row>
    <row r="41">
      <c r="A41" s="2" t="inlineStr">
        <is>
          <t>NIIT (Fed)</t>
        </is>
      </c>
      <c r="B41" s="10">
        <f>IF(B23 &gt; B40, 0.038 * MIN(B23-B40, B21+B22), 0)</f>
        <v/>
      </c>
      <c r="D41" s="2" t="n"/>
      <c r="I41" s="2" t="n"/>
    </row>
    <row r="42">
      <c r="A42" s="2" t="inlineStr">
        <is>
          <t>Addl Medicare Threshold</t>
        </is>
      </c>
      <c r="B42" s="10">
        <f>XLOOKUP(B2, 'Tax Constants'!A88:A91, 'Tax Constants'!C88:C91, 200000)</f>
        <v/>
      </c>
      <c r="D42" s="2" t="n"/>
      <c r="I42" s="2" t="n"/>
    </row>
    <row r="43">
      <c r="A43" s="2" t="inlineStr">
        <is>
          <t>Addl Medicare (Fed)</t>
        </is>
      </c>
      <c r="B43" s="10">
        <f>IF(B18 &gt; B42, 0.009 * (B18-B42), 0)</f>
        <v/>
      </c>
      <c r="D43" s="2" t="n"/>
      <c r="I43" s="2" t="n"/>
    </row>
    <row r="44">
      <c r="A44" s="2" t="inlineStr">
        <is>
          <t>CTC Phaseout Start</t>
        </is>
      </c>
      <c r="B44" s="10">
        <f>XLOOKUP(B2, 'Tax Constants'!A88:A91, 'Tax Constants'!D88:D91, 200000)</f>
        <v/>
      </c>
      <c r="D44" s="2" t="n"/>
      <c r="I44" s="2" t="n"/>
    </row>
    <row r="45">
      <c r="A45" s="2" t="inlineStr">
        <is>
          <t>Child Tax Credit</t>
        </is>
      </c>
      <c r="B45" s="10">
        <f>IF(B23 &gt; B44, MAX(0, (B3*2000)-((B23-B44)/1000)*50), B3*2000)</f>
        <v/>
      </c>
      <c r="D45" s="2" t="n"/>
      <c r="I45" s="2" t="n"/>
    </row>
    <row r="46">
      <c r="A46" s="2" t="inlineStr">
        <is>
          <t>Total Federal Liability</t>
        </is>
      </c>
      <c r="B46" s="10">
        <f>B29 + B30 + B41 + B43 - B45</f>
        <v/>
      </c>
      <c r="D46" s="2" t="n"/>
      <c r="I46" s="2" t="n"/>
    </row>
    <row r="47">
      <c r="A47" s="2" t="n"/>
      <c r="D47" s="2" t="n"/>
      <c r="I47" s="2" t="n"/>
    </row>
    <row r="48">
      <c r="A48" s="1" t="inlineStr">
        <is>
          <t>Payment Requirements</t>
        </is>
      </c>
      <c r="D48" s="2" t="n"/>
      <c r="I48" s="2" t="n"/>
    </row>
    <row r="49">
      <c r="A49" s="2" t="inlineStr">
        <is>
          <t>Fed Target</t>
        </is>
      </c>
      <c r="B49" s="10">
        <f>IF(B4=0, B46 * 0.9, MIN(B46 * 0.9, B4 * 1.1))</f>
        <v/>
      </c>
      <c r="D49" s="2" t="n"/>
      <c r="I49" s="2" t="n"/>
    </row>
    <row r="50">
      <c r="A50" s="2" t="inlineStr">
        <is>
          <t>Total Fed Payments YTD</t>
        </is>
      </c>
      <c r="B50" s="10">
        <f>SUM('Wage Snapshots'!E:E) + SUMIFS(F3:F10, G3:G10, "Fed*")</f>
        <v/>
      </c>
      <c r="D50" s="2" t="n"/>
      <c r="I50" s="2" t="n"/>
    </row>
    <row r="51">
      <c r="A51" s="2" t="inlineStr">
        <is>
          <t>CA Target</t>
        </is>
      </c>
      <c r="B51" s="10">
        <f>IF(B5=0, B37 * 0.8, MIN(B37 * 0.8, B5 * 1.1))</f>
        <v/>
      </c>
      <c r="D51" s="2" t="n"/>
      <c r="I51" s="2" t="n"/>
    </row>
    <row r="52">
      <c r="A52" s="2" t="inlineStr">
        <is>
          <t>Total CA Payments YTD</t>
        </is>
      </c>
      <c r="B52" s="10">
        <f>SUM('Wage Snapshots'!F:F) + SUMIFS(F3:F10, G3:G10, "CA*")</f>
        <v/>
      </c>
      <c r="D52" s="2" t="n"/>
      <c r="I52" s="2" t="n"/>
    </row>
    <row r="53">
      <c r="A53" s="2" t="n"/>
      <c r="D53" s="2" t="n"/>
      <c r="I53" s="2" t="n"/>
    </row>
    <row r="54">
      <c r="A54" s="2" t="n"/>
      <c r="C54" s="10" t="n"/>
      <c r="D54" s="2" t="n"/>
      <c r="I54" s="2" t="n"/>
    </row>
    <row r="55">
      <c r="A55" s="2" t="inlineStr">
        <is>
          <t>Q1 (Apr 15)</t>
        </is>
      </c>
      <c r="B55">
        <f>B49 * 0.25</f>
        <v/>
      </c>
      <c r="C55" s="10">
        <f>MAX(0, B55 - B50)</f>
        <v/>
      </c>
      <c r="D55" s="2" t="n"/>
      <c r="I55" s="2" t="n"/>
    </row>
    <row r="56">
      <c r="A56" s="2" t="inlineStr">
        <is>
          <t>Q2 (Jun 15)</t>
        </is>
      </c>
      <c r="B56">
        <f>B49 * 0.5</f>
        <v/>
      </c>
      <c r="C56" s="10">
        <f>MAX(0, B56 - B50)</f>
        <v/>
      </c>
      <c r="D56" s="2" t="n"/>
      <c r="I56" s="2" t="n"/>
    </row>
    <row r="57">
      <c r="A57" s="2" t="inlineStr">
        <is>
          <t>Q3 (Sep 15)</t>
        </is>
      </c>
      <c r="B57">
        <f>B49 * 0.75</f>
        <v/>
      </c>
      <c r="C57" s="10">
        <f>MAX(0, B57 - B50)</f>
        <v/>
      </c>
      <c r="D57" s="2" t="n"/>
      <c r="I57" s="2" t="n"/>
    </row>
    <row r="58">
      <c r="A58" s="2" t="inlineStr">
        <is>
          <t>Q4 (Jan 15)</t>
        </is>
      </c>
      <c r="B58">
        <f>B49 * 1.0</f>
        <v/>
      </c>
      <c r="C58" s="10">
        <f>MAX(0, B58 - B50)</f>
        <v/>
      </c>
      <c r="D58" s="2" t="n"/>
      <c r="I58" s="2" t="n"/>
    </row>
    <row r="59">
      <c r="A59" s="2" t="n"/>
      <c r="C59" s="10" t="n"/>
      <c r="D59" s="2" t="n"/>
      <c r="I59" s="2" t="n"/>
    </row>
    <row r="60">
      <c r="A60" s="2" t="n"/>
      <c r="C60" s="10" t="n"/>
      <c r="D60" s="2" t="n"/>
      <c r="I60" s="2" t="n"/>
    </row>
    <row r="61">
      <c r="A61" s="2" t="inlineStr">
        <is>
          <t>Q1 (Apr 15)</t>
        </is>
      </c>
      <c r="B61">
        <f>B51 * 0.3</f>
        <v/>
      </c>
      <c r="C61" s="10">
        <f>MAX(0, B61 - B52)</f>
        <v/>
      </c>
      <c r="D61" s="2" t="n"/>
      <c r="I61" s="2" t="n"/>
    </row>
    <row r="62">
      <c r="A62" s="2" t="inlineStr">
        <is>
          <t>Q2 (Jun 15)</t>
        </is>
      </c>
      <c r="B62">
        <f>B51 * 0.7</f>
        <v/>
      </c>
      <c r="C62" s="10">
        <f>MAX(0, B62 - B52)</f>
        <v/>
      </c>
      <c r="D62" s="2" t="n"/>
      <c r="I62" s="2" t="n"/>
    </row>
    <row r="63">
      <c r="A63" s="2" t="inlineStr">
        <is>
          <t>Q3 (Sep 15)</t>
        </is>
      </c>
      <c r="B63">
        <f>B51 * 0.7</f>
        <v/>
      </c>
      <c r="C63" s="10">
        <f>MAX(0, B63 - B52)</f>
        <v/>
      </c>
      <c r="D63" s="2" t="n"/>
      <c r="I63" s="2" t="n"/>
    </row>
    <row r="64">
      <c r="A64" s="2" t="inlineStr">
        <is>
          <t>Q4 (Jan 15)</t>
        </is>
      </c>
      <c r="B64">
        <f>B51 * 1.0</f>
        <v/>
      </c>
      <c r="C64" s="10">
        <f>MAX(0, B64 - B52)</f>
        <v/>
      </c>
      <c r="D64" s="2" t="n"/>
      <c r="I64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8" customWidth="1" min="4" max="4"/>
    <col width="17" customWidth="1" min="5" max="5"/>
  </cols>
  <sheetData>
    <row r="1">
      <c r="A1" s="1" t="inlineStr">
        <is>
          <t>Quarter</t>
        </is>
      </c>
      <c r="B1" s="1" t="inlineStr">
        <is>
          <t>Broker</t>
        </is>
      </c>
      <c r="C1" s="1" t="inlineStr">
        <is>
          <t>Dividends &amp; Interest</t>
        </is>
      </c>
      <c r="D1" s="1" t="inlineStr">
        <is>
          <t>Short-Term Gains</t>
        </is>
      </c>
      <c r="E1" s="1" t="inlineStr">
        <is>
          <t>Long-Term Gains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9" customWidth="1" min="4" max="4"/>
    <col width="18" customWidth="1" min="5" max="5"/>
    <col width="17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Gross W-2 Income</t>
        </is>
      </c>
      <c r="C1" s="1" t="inlineStr">
        <is>
          <t>Pre-tax Deductions</t>
        </is>
      </c>
      <c r="D1" s="1" t="inlineStr">
        <is>
          <t>HSA Contributions</t>
        </is>
      </c>
      <c r="E1" s="1" t="inlineStr">
        <is>
          <t>Fed Tax Withheld</t>
        </is>
      </c>
      <c r="F1" s="1" t="inlineStr">
        <is>
          <t>CA Tax Withheld</t>
        </is>
      </c>
      <c r="G1" s="1" t="inlineStr">
        <is>
          <t>FICA/Med/SDI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5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Table A: Federal Brackets (Ordinary Income - 2026)</t>
        </is>
      </c>
      <c r="B1" s="1" t="n"/>
      <c r="C1" s="1" t="n"/>
      <c r="D1" s="1" t="n"/>
      <c r="E1" s="1" t="n"/>
      <c r="F1" s="1" t="n"/>
    </row>
    <row r="2">
      <c r="A2" s="2" t="inlineStr">
        <is>
          <t>Status</t>
        </is>
      </c>
      <c r="B2" t="inlineStr">
        <is>
          <t>Bracket Floor</t>
        </is>
      </c>
      <c r="C2" t="inlineStr">
        <is>
          <t>Base Tax</t>
        </is>
      </c>
      <c r="D2" s="2" t="inlineStr">
        <is>
          <t>Marginal Rate</t>
        </is>
      </c>
      <c r="E2" t="inlineStr">
        <is>
          <t>Standard Deduction</t>
        </is>
      </c>
    </row>
    <row r="3">
      <c r="A3" s="2" t="inlineStr">
        <is>
          <t>Single</t>
        </is>
      </c>
      <c r="B3" t="n">
        <v>0</v>
      </c>
      <c r="C3" t="n">
        <v>0</v>
      </c>
      <c r="D3" s="2" t="n">
        <v>0.1</v>
      </c>
      <c r="E3" t="n">
        <v>15000</v>
      </c>
    </row>
    <row r="4">
      <c r="A4" s="2" t="inlineStr">
        <is>
          <t>Single</t>
        </is>
      </c>
      <c r="B4" t="n">
        <v>11925</v>
      </c>
      <c r="C4" t="n">
        <v>1192.5</v>
      </c>
      <c r="D4" s="2" t="n">
        <v>0.12</v>
      </c>
      <c r="E4" t="n">
        <v>15000</v>
      </c>
    </row>
    <row r="5">
      <c r="A5" s="2" t="inlineStr">
        <is>
          <t>Single</t>
        </is>
      </c>
      <c r="B5" t="n">
        <v>48475</v>
      </c>
      <c r="C5" t="n">
        <v>5578.5</v>
      </c>
      <c r="D5" s="2" t="n">
        <v>0.22</v>
      </c>
      <c r="E5" t="n">
        <v>15000</v>
      </c>
    </row>
    <row r="6">
      <c r="A6" s="2" t="inlineStr">
        <is>
          <t>Single</t>
        </is>
      </c>
      <c r="B6" t="n">
        <v>103350</v>
      </c>
      <c r="C6" t="n">
        <v>17651</v>
      </c>
      <c r="D6" s="2" t="n">
        <v>0.24</v>
      </c>
      <c r="E6" t="n">
        <v>15000</v>
      </c>
    </row>
    <row r="7">
      <c r="A7" s="2" t="inlineStr">
        <is>
          <t>Single</t>
        </is>
      </c>
      <c r="B7" t="n">
        <v>197300</v>
      </c>
      <c r="C7" t="n">
        <v>40199</v>
      </c>
      <c r="D7" s="2" t="n">
        <v>0.32</v>
      </c>
      <c r="E7" t="n">
        <v>15000</v>
      </c>
    </row>
    <row r="8">
      <c r="A8" s="2" t="inlineStr">
        <is>
          <t>Single</t>
        </is>
      </c>
      <c r="B8" t="n">
        <v>250525</v>
      </c>
      <c r="C8" t="n">
        <v>57231</v>
      </c>
      <c r="D8" s="2" t="n">
        <v>0.35</v>
      </c>
      <c r="E8" t="n">
        <v>15000</v>
      </c>
    </row>
    <row r="9">
      <c r="A9" s="2" t="inlineStr">
        <is>
          <t>Single</t>
        </is>
      </c>
      <c r="B9" t="n">
        <v>626350</v>
      </c>
      <c r="C9" t="n">
        <v>188770</v>
      </c>
      <c r="D9" s="2" t="n">
        <v>0.37</v>
      </c>
      <c r="E9" t="n">
        <v>15000</v>
      </c>
    </row>
    <row r="10">
      <c r="A10" s="2" t="inlineStr">
        <is>
          <t>MFJ</t>
        </is>
      </c>
      <c r="B10" t="n">
        <v>0</v>
      </c>
      <c r="C10" t="n">
        <v>0</v>
      </c>
      <c r="D10" s="2" t="n">
        <v>0.1</v>
      </c>
      <c r="E10" t="n">
        <v>30000</v>
      </c>
    </row>
    <row r="11">
      <c r="A11" s="2" t="inlineStr">
        <is>
          <t>MFJ</t>
        </is>
      </c>
      <c r="B11" t="n">
        <v>23850</v>
      </c>
      <c r="C11" t="n">
        <v>2385</v>
      </c>
      <c r="D11" s="2" t="n">
        <v>0.12</v>
      </c>
      <c r="E11" t="n">
        <v>30000</v>
      </c>
    </row>
    <row r="12">
      <c r="A12" s="2" t="inlineStr">
        <is>
          <t>MFJ</t>
        </is>
      </c>
      <c r="B12" t="n">
        <v>96950</v>
      </c>
      <c r="C12" t="n">
        <v>11157</v>
      </c>
      <c r="D12" s="2" t="n">
        <v>0.22</v>
      </c>
      <c r="E12" t="n">
        <v>30000</v>
      </c>
    </row>
    <row r="13">
      <c r="A13" s="2" t="inlineStr">
        <is>
          <t>MFJ</t>
        </is>
      </c>
      <c r="B13" t="n">
        <v>206700</v>
      </c>
      <c r="C13" t="n">
        <v>35302</v>
      </c>
      <c r="D13" s="2" t="n">
        <v>0.24</v>
      </c>
      <c r="E13" t="n">
        <v>30000</v>
      </c>
    </row>
    <row r="14">
      <c r="A14" s="2" t="inlineStr">
        <is>
          <t>MFJ</t>
        </is>
      </c>
      <c r="B14" t="n">
        <v>394600</v>
      </c>
      <c r="C14" t="n">
        <v>80398</v>
      </c>
      <c r="D14" s="2" t="n">
        <v>0.32</v>
      </c>
      <c r="E14" t="n">
        <v>30000</v>
      </c>
    </row>
    <row r="15">
      <c r="A15" s="2" t="inlineStr">
        <is>
          <t>MFJ</t>
        </is>
      </c>
      <c r="B15" t="n">
        <v>501050</v>
      </c>
      <c r="C15" t="n">
        <v>114462</v>
      </c>
      <c r="D15" s="2" t="n">
        <v>0.35</v>
      </c>
      <c r="E15" t="n">
        <v>30000</v>
      </c>
    </row>
    <row r="16">
      <c r="A16" s="2" t="inlineStr">
        <is>
          <t>MFJ</t>
        </is>
      </c>
      <c r="B16" t="n">
        <v>751600</v>
      </c>
      <c r="C16" t="n">
        <v>202154.5</v>
      </c>
      <c r="D16" s="2" t="n">
        <v>0.37</v>
      </c>
      <c r="E16" t="n">
        <v>30000</v>
      </c>
    </row>
    <row r="17">
      <c r="A17" s="2" t="inlineStr">
        <is>
          <t>MFS</t>
        </is>
      </c>
      <c r="B17" t="n">
        <v>0</v>
      </c>
      <c r="C17" t="n">
        <v>0</v>
      </c>
      <c r="D17" s="2" t="n">
        <v>0.1</v>
      </c>
      <c r="E17" t="n">
        <v>15000</v>
      </c>
    </row>
    <row r="18">
      <c r="A18" s="2" t="inlineStr">
        <is>
          <t>MFS</t>
        </is>
      </c>
      <c r="B18" t="n">
        <v>11925</v>
      </c>
      <c r="C18" t="n">
        <v>1192.5</v>
      </c>
      <c r="D18" s="2" t="n">
        <v>0.12</v>
      </c>
      <c r="E18" t="n">
        <v>15000</v>
      </c>
    </row>
    <row r="19">
      <c r="A19" s="2" t="inlineStr">
        <is>
          <t>MFS</t>
        </is>
      </c>
      <c r="B19" t="n">
        <v>48475</v>
      </c>
      <c r="C19" t="n">
        <v>5578.5</v>
      </c>
      <c r="D19" s="2" t="n">
        <v>0.22</v>
      </c>
      <c r="E19" t="n">
        <v>15000</v>
      </c>
    </row>
    <row r="20">
      <c r="A20" s="2" t="inlineStr">
        <is>
          <t>MFS</t>
        </is>
      </c>
      <c r="B20" t="n">
        <v>103350</v>
      </c>
      <c r="C20" t="n">
        <v>17651</v>
      </c>
      <c r="D20" s="2" t="n">
        <v>0.24</v>
      </c>
      <c r="E20" t="n">
        <v>15000</v>
      </c>
    </row>
    <row r="21">
      <c r="A21" s="2" t="inlineStr">
        <is>
          <t>MFS</t>
        </is>
      </c>
      <c r="B21" t="n">
        <v>197300</v>
      </c>
      <c r="C21" t="n">
        <v>40199</v>
      </c>
      <c r="D21" s="2" t="n">
        <v>0.32</v>
      </c>
      <c r="E21" t="n">
        <v>15000</v>
      </c>
    </row>
    <row r="22">
      <c r="A22" s="2" t="inlineStr">
        <is>
          <t>MFS</t>
        </is>
      </c>
      <c r="B22" t="n">
        <v>250525</v>
      </c>
      <c r="C22" t="n">
        <v>57231</v>
      </c>
      <c r="D22" s="2" t="n">
        <v>0.35</v>
      </c>
      <c r="E22" t="n">
        <v>15000</v>
      </c>
    </row>
    <row r="23">
      <c r="A23" s="2" t="inlineStr">
        <is>
          <t>MFS</t>
        </is>
      </c>
      <c r="B23" t="n">
        <v>375800</v>
      </c>
      <c r="C23" t="n">
        <v>101077.25</v>
      </c>
      <c r="D23" s="2" t="n">
        <v>0.37</v>
      </c>
      <c r="E23" t="n">
        <v>15000</v>
      </c>
    </row>
    <row r="24">
      <c r="A24" s="2" t="inlineStr">
        <is>
          <t>HoH</t>
        </is>
      </c>
      <c r="B24" t="n">
        <v>0</v>
      </c>
      <c r="C24" t="n">
        <v>0</v>
      </c>
      <c r="D24" s="2" t="n">
        <v>0.1</v>
      </c>
      <c r="E24" t="n">
        <v>22500</v>
      </c>
    </row>
    <row r="25">
      <c r="A25" s="2" t="inlineStr">
        <is>
          <t>HoH</t>
        </is>
      </c>
      <c r="B25" t="n">
        <v>17000</v>
      </c>
      <c r="C25" t="n">
        <v>1700</v>
      </c>
      <c r="D25" s="2" t="n">
        <v>0.12</v>
      </c>
      <c r="E25" t="n">
        <v>22500</v>
      </c>
    </row>
    <row r="26">
      <c r="A26" s="2" t="inlineStr">
        <is>
          <t>HoH</t>
        </is>
      </c>
      <c r="B26" t="n">
        <v>64850</v>
      </c>
      <c r="C26" t="n">
        <v>7442</v>
      </c>
      <c r="D26" s="2" t="n">
        <v>0.22</v>
      </c>
      <c r="E26" t="n">
        <v>22500</v>
      </c>
    </row>
    <row r="27">
      <c r="A27" s="2" t="inlineStr">
        <is>
          <t>HoH</t>
        </is>
      </c>
      <c r="B27" t="n">
        <v>103350</v>
      </c>
      <c r="C27" t="n">
        <v>15912</v>
      </c>
      <c r="D27" s="2" t="n">
        <v>0.24</v>
      </c>
      <c r="E27" t="n">
        <v>22500</v>
      </c>
    </row>
    <row r="28">
      <c r="A28" s="2" t="inlineStr">
        <is>
          <t>HoH</t>
        </is>
      </c>
      <c r="B28" t="n">
        <v>197300</v>
      </c>
      <c r="C28" t="n">
        <v>38460</v>
      </c>
      <c r="D28" s="2" t="n">
        <v>0.32</v>
      </c>
      <c r="E28" t="n">
        <v>22500</v>
      </c>
    </row>
    <row r="29">
      <c r="A29" s="2" t="inlineStr">
        <is>
          <t>HoH</t>
        </is>
      </c>
      <c r="B29" t="n">
        <v>250500</v>
      </c>
      <c r="C29" t="n">
        <v>55484</v>
      </c>
      <c r="D29" s="2" t="n">
        <v>0.35</v>
      </c>
      <c r="E29" t="n">
        <v>22500</v>
      </c>
    </row>
    <row r="30">
      <c r="A30" s="2" t="inlineStr">
        <is>
          <t>HoH</t>
        </is>
      </c>
      <c r="B30" t="n">
        <v>626350</v>
      </c>
      <c r="C30" t="n">
        <v>187031.5</v>
      </c>
      <c r="D30" s="2" t="n">
        <v>0.37</v>
      </c>
      <c r="E30" t="n">
        <v>22500</v>
      </c>
    </row>
    <row r="31">
      <c r="A31" s="2" t="n"/>
      <c r="D31" s="2" t="n"/>
    </row>
    <row r="32">
      <c r="A32" s="2" t="inlineStr">
        <is>
          <t>Table B: Federal Capital Gains Brackets (2026)</t>
        </is>
      </c>
      <c r="D32" s="2" t="n"/>
    </row>
    <row r="33">
      <c r="A33" s="2" t="inlineStr">
        <is>
          <t>Status</t>
        </is>
      </c>
      <c r="B33" t="inlineStr">
        <is>
          <t>Bracket Floor</t>
        </is>
      </c>
      <c r="C33" t="inlineStr">
        <is>
          <t>LTCG Rate</t>
        </is>
      </c>
      <c r="D33" s="2" t="n"/>
    </row>
    <row r="34">
      <c r="A34" s="2" t="inlineStr">
        <is>
          <t>Single</t>
        </is>
      </c>
      <c r="B34" t="n">
        <v>0</v>
      </c>
      <c r="C34" t="n">
        <v>0</v>
      </c>
      <c r="D34" s="2" t="n"/>
    </row>
    <row r="35">
      <c r="A35" s="2" t="inlineStr">
        <is>
          <t>Single</t>
        </is>
      </c>
      <c r="B35" t="n">
        <v>47025</v>
      </c>
      <c r="C35" t="n">
        <v>0.15</v>
      </c>
      <c r="D35" s="2" t="n"/>
    </row>
    <row r="36">
      <c r="A36" s="2" t="inlineStr">
        <is>
          <t>Single</t>
        </is>
      </c>
      <c r="B36" t="n">
        <v>518900</v>
      </c>
      <c r="C36" t="n">
        <v>0.2</v>
      </c>
      <c r="D36" s="2" t="n"/>
    </row>
    <row r="37">
      <c r="A37" s="2" t="inlineStr">
        <is>
          <t>MFJ</t>
        </is>
      </c>
      <c r="B37" t="n">
        <v>0</v>
      </c>
      <c r="C37" t="n">
        <v>0</v>
      </c>
      <c r="D37" s="2" t="n"/>
    </row>
    <row r="38">
      <c r="A38" s="2" t="inlineStr">
        <is>
          <t>MFJ</t>
        </is>
      </c>
      <c r="B38" t="n">
        <v>96700</v>
      </c>
      <c r="C38" t="n">
        <v>0.15</v>
      </c>
      <c r="D38" s="2" t="n"/>
    </row>
    <row r="39">
      <c r="A39" s="2" t="inlineStr">
        <is>
          <t>MFJ</t>
        </is>
      </c>
      <c r="B39" t="n">
        <v>600050</v>
      </c>
      <c r="C39" t="n">
        <v>0.2</v>
      </c>
      <c r="D39" s="2" t="n"/>
    </row>
    <row r="40">
      <c r="A40" s="2" t="inlineStr">
        <is>
          <t>MFS</t>
        </is>
      </c>
      <c r="B40" t="n">
        <v>0</v>
      </c>
      <c r="C40" t="n">
        <v>0</v>
      </c>
      <c r="D40" s="2" t="n"/>
    </row>
    <row r="41">
      <c r="A41" s="2" t="inlineStr">
        <is>
          <t>MFS</t>
        </is>
      </c>
      <c r="B41" t="n">
        <v>48350</v>
      </c>
      <c r="C41" t="n">
        <v>0.15</v>
      </c>
      <c r="D41" s="2" t="n"/>
    </row>
    <row r="42">
      <c r="A42" s="2" t="inlineStr">
        <is>
          <t>MFS</t>
        </is>
      </c>
      <c r="B42" t="n">
        <v>300000</v>
      </c>
      <c r="C42" t="n">
        <v>0.2</v>
      </c>
      <c r="D42" s="2" t="n"/>
    </row>
    <row r="43">
      <c r="A43" s="2" t="inlineStr">
        <is>
          <t>HoH</t>
        </is>
      </c>
      <c r="B43" t="n">
        <v>0</v>
      </c>
      <c r="C43" t="n">
        <v>0</v>
      </c>
      <c r="D43" s="2" t="n"/>
    </row>
    <row r="44">
      <c r="A44" s="2" t="inlineStr">
        <is>
          <t>HoH</t>
        </is>
      </c>
      <c r="B44" t="n">
        <v>64750</v>
      </c>
      <c r="C44" t="n">
        <v>0.15</v>
      </c>
      <c r="D44" s="2" t="n"/>
    </row>
    <row r="45">
      <c r="A45" s="2" t="inlineStr">
        <is>
          <t>HoH</t>
        </is>
      </c>
      <c r="B45" t="n">
        <v>566700</v>
      </c>
      <c r="C45" t="n">
        <v>0.2</v>
      </c>
      <c r="D45" s="2" t="n"/>
    </row>
    <row r="46">
      <c r="A46" s="2" t="n"/>
      <c r="D46" s="2" t="n"/>
    </row>
    <row r="47">
      <c r="A47" s="2" t="inlineStr">
        <is>
          <t>Table C: California FTB Brackets (2026)</t>
        </is>
      </c>
      <c r="D47" s="2" t="n"/>
    </row>
    <row r="48">
      <c r="A48" s="2" t="inlineStr">
        <is>
          <t>Status</t>
        </is>
      </c>
      <c r="B48" t="inlineStr">
        <is>
          <t>Bracket Floor</t>
        </is>
      </c>
      <c r="C48" t="inlineStr">
        <is>
          <t>Base Tax</t>
        </is>
      </c>
      <c r="D48" s="2" t="inlineStr">
        <is>
          <t>Marginal Rate</t>
        </is>
      </c>
      <c r="E48" t="inlineStr">
        <is>
          <t>Standard Deduction</t>
        </is>
      </c>
      <c r="F48" t="inlineStr">
        <is>
          <t>MH Surcharge Floor</t>
        </is>
      </c>
    </row>
    <row r="49">
      <c r="A49" s="2" t="inlineStr">
        <is>
          <t>Single</t>
        </is>
      </c>
      <c r="B49" t="n">
        <v>0</v>
      </c>
      <c r="C49" t="n">
        <v>0</v>
      </c>
      <c r="D49" s="2" t="n">
        <v>0.01</v>
      </c>
      <c r="E49" t="n">
        <v>5706</v>
      </c>
      <c r="F49" t="n">
        <v>1000000</v>
      </c>
    </row>
    <row r="50">
      <c r="A50" s="2" t="inlineStr">
        <is>
          <t>Single</t>
        </is>
      </c>
      <c r="B50" t="n">
        <v>11079</v>
      </c>
      <c r="C50" t="n">
        <v>110.79</v>
      </c>
      <c r="D50" s="2" t="n">
        <v>0.02</v>
      </c>
      <c r="E50" t="n">
        <v>5706</v>
      </c>
      <c r="F50" t="n">
        <v>1000000</v>
      </c>
    </row>
    <row r="51">
      <c r="A51" s="2" t="inlineStr">
        <is>
          <t>Single</t>
        </is>
      </c>
      <c r="B51" t="n">
        <v>26264</v>
      </c>
      <c r="C51" t="n">
        <v>414.49</v>
      </c>
      <c r="D51" s="2" t="n">
        <v>0.04</v>
      </c>
      <c r="E51" t="n">
        <v>5706</v>
      </c>
      <c r="F51" t="n">
        <v>1000000</v>
      </c>
    </row>
    <row r="52">
      <c r="A52" s="2" t="inlineStr">
        <is>
          <t>Single</t>
        </is>
      </c>
      <c r="B52" t="n">
        <v>41452</v>
      </c>
      <c r="C52" t="n">
        <v>1022.01</v>
      </c>
      <c r="D52" s="2" t="n">
        <v>0.06</v>
      </c>
      <c r="E52" t="n">
        <v>5706</v>
      </c>
      <c r="F52" t="n">
        <v>1000000</v>
      </c>
    </row>
    <row r="53">
      <c r="A53" s="2" t="inlineStr">
        <is>
          <t>Single</t>
        </is>
      </c>
      <c r="B53" t="n">
        <v>57542</v>
      </c>
      <c r="C53" t="n">
        <v>1987.41</v>
      </c>
      <c r="D53" s="2" t="n">
        <v>0.08</v>
      </c>
      <c r="E53" t="n">
        <v>5706</v>
      </c>
      <c r="F53" t="n">
        <v>1000000</v>
      </c>
    </row>
    <row r="54">
      <c r="A54" s="2" t="inlineStr">
        <is>
          <t>Single</t>
        </is>
      </c>
      <c r="B54" t="n">
        <v>72724</v>
      </c>
      <c r="C54" t="n">
        <v>3201.97</v>
      </c>
      <c r="D54" s="2" t="n">
        <v>0.093</v>
      </c>
      <c r="E54" t="n">
        <v>5706</v>
      </c>
      <c r="F54" t="n">
        <v>1000000</v>
      </c>
    </row>
    <row r="55">
      <c r="A55" s="2" t="inlineStr">
        <is>
          <t>Single</t>
        </is>
      </c>
      <c r="B55" t="n">
        <v>371479</v>
      </c>
      <c r="C55" t="n">
        <v>31036.19</v>
      </c>
      <c r="D55" s="2" t="n">
        <v>0.103</v>
      </c>
      <c r="E55" t="n">
        <v>5706</v>
      </c>
      <c r="F55" t="n">
        <v>1000000</v>
      </c>
    </row>
    <row r="56">
      <c r="A56" s="2" t="inlineStr">
        <is>
          <t>Single</t>
        </is>
      </c>
      <c r="B56" t="n">
        <v>445771</v>
      </c>
      <c r="C56" t="n">
        <v>38688.19</v>
      </c>
      <c r="D56" s="2" t="n">
        <v>0.113</v>
      </c>
      <c r="E56" t="n">
        <v>5706</v>
      </c>
      <c r="F56" t="n">
        <v>1000000</v>
      </c>
    </row>
    <row r="57">
      <c r="A57" s="2" t="inlineStr">
        <is>
          <t>Single</t>
        </is>
      </c>
      <c r="B57" t="n">
        <v>742953</v>
      </c>
      <c r="C57" t="n">
        <v>72269.75</v>
      </c>
      <c r="D57" s="2" t="n">
        <v>0.123</v>
      </c>
      <c r="E57" t="n">
        <v>5706</v>
      </c>
      <c r="F57" t="n">
        <v>1000000</v>
      </c>
    </row>
    <row r="58">
      <c r="A58" s="2" t="inlineStr">
        <is>
          <t>MFJ</t>
        </is>
      </c>
      <c r="B58" t="n">
        <v>0</v>
      </c>
      <c r="C58" t="n">
        <v>0</v>
      </c>
      <c r="D58" s="2" t="n">
        <v>0.01</v>
      </c>
      <c r="E58" t="n">
        <v>11412</v>
      </c>
      <c r="F58" t="n">
        <v>1000000</v>
      </c>
    </row>
    <row r="59">
      <c r="A59" s="2" t="inlineStr">
        <is>
          <t>MFJ</t>
        </is>
      </c>
      <c r="B59" t="n">
        <v>22158</v>
      </c>
      <c r="C59" t="n">
        <v>221.58</v>
      </c>
      <c r="D59" s="2" t="n">
        <v>0.02</v>
      </c>
      <c r="E59" t="n">
        <v>11412</v>
      </c>
      <c r="F59" t="n">
        <v>1000000</v>
      </c>
    </row>
    <row r="60">
      <c r="A60" s="2" t="inlineStr">
        <is>
          <t>MFJ</t>
        </is>
      </c>
      <c r="B60" t="n">
        <v>52528</v>
      </c>
      <c r="C60" t="n">
        <v>828.98</v>
      </c>
      <c r="D60" s="2" t="n">
        <v>0.04</v>
      </c>
      <c r="E60" t="n">
        <v>11412</v>
      </c>
      <c r="F60" t="n">
        <v>1000000</v>
      </c>
    </row>
    <row r="61">
      <c r="A61" s="2" t="inlineStr">
        <is>
          <t>MFJ</t>
        </is>
      </c>
      <c r="B61" t="n">
        <v>82904</v>
      </c>
      <c r="C61" t="n">
        <v>2044.02</v>
      </c>
      <c r="D61" s="2" t="n">
        <v>0.06</v>
      </c>
      <c r="E61" t="n">
        <v>11412</v>
      </c>
      <c r="F61" t="n">
        <v>1000000</v>
      </c>
    </row>
    <row r="62">
      <c r="A62" s="2" t="inlineStr">
        <is>
          <t>MFJ</t>
        </is>
      </c>
      <c r="B62" t="n">
        <v>115084</v>
      </c>
      <c r="C62" t="n">
        <v>3974.82</v>
      </c>
      <c r="D62" s="2" t="n">
        <v>0.08</v>
      </c>
      <c r="E62" t="n">
        <v>11412</v>
      </c>
      <c r="F62" t="n">
        <v>1000000</v>
      </c>
    </row>
    <row r="63">
      <c r="A63" s="2" t="inlineStr">
        <is>
          <t>MFJ</t>
        </is>
      </c>
      <c r="B63" t="n">
        <v>145448</v>
      </c>
      <c r="C63" t="n">
        <v>6403.94</v>
      </c>
      <c r="D63" s="2" t="n">
        <v>0.093</v>
      </c>
      <c r="E63" t="n">
        <v>11412</v>
      </c>
      <c r="F63" t="n">
        <v>1000000</v>
      </c>
    </row>
    <row r="64">
      <c r="A64" s="2" t="inlineStr">
        <is>
          <t>MFJ</t>
        </is>
      </c>
      <c r="B64" t="n">
        <v>742958</v>
      </c>
      <c r="C64" t="n">
        <v>61972.37</v>
      </c>
      <c r="D64" s="2" t="n">
        <v>0.103</v>
      </c>
      <c r="E64" t="n">
        <v>11412</v>
      </c>
      <c r="F64" t="n">
        <v>1000000</v>
      </c>
    </row>
    <row r="65">
      <c r="A65" s="2" t="inlineStr">
        <is>
          <t>MFJ</t>
        </is>
      </c>
      <c r="B65" t="n">
        <v>891542</v>
      </c>
      <c r="C65" t="n">
        <v>77276.52</v>
      </c>
      <c r="D65" s="2" t="n">
        <v>0.113</v>
      </c>
      <c r="E65" t="n">
        <v>11412</v>
      </c>
      <c r="F65" t="n">
        <v>1000000</v>
      </c>
    </row>
    <row r="66">
      <c r="A66" s="2" t="inlineStr">
        <is>
          <t>MFJ</t>
        </is>
      </c>
      <c r="B66" t="n">
        <v>1485906</v>
      </c>
      <c r="C66" t="n">
        <v>144439.65</v>
      </c>
      <c r="D66" s="2" t="n">
        <v>0.123</v>
      </c>
      <c r="E66" t="n">
        <v>11412</v>
      </c>
      <c r="F66" t="n">
        <v>1000000</v>
      </c>
    </row>
    <row r="67">
      <c r="A67" s="2" t="inlineStr">
        <is>
          <t>HoH</t>
        </is>
      </c>
      <c r="B67" t="n">
        <v>0</v>
      </c>
      <c r="C67" t="n">
        <v>0</v>
      </c>
      <c r="D67" s="2" t="n">
        <v>0.01</v>
      </c>
      <c r="E67" t="n">
        <v>11412</v>
      </c>
      <c r="F67" t="n">
        <v>1000000</v>
      </c>
    </row>
    <row r="68">
      <c r="A68" s="2" t="inlineStr">
        <is>
          <t>HoH</t>
        </is>
      </c>
      <c r="B68" t="n">
        <v>22173</v>
      </c>
      <c r="C68" t="n">
        <v>221.73</v>
      </c>
      <c r="D68" s="2" t="n">
        <v>0.02</v>
      </c>
      <c r="E68" t="n">
        <v>11412</v>
      </c>
      <c r="F68" t="n">
        <v>1000000</v>
      </c>
    </row>
    <row r="69">
      <c r="A69" s="2" t="inlineStr">
        <is>
          <t>HoH</t>
        </is>
      </c>
      <c r="B69" t="n">
        <v>52530</v>
      </c>
      <c r="C69" t="n">
        <v>828.87</v>
      </c>
      <c r="D69" s="2" t="n">
        <v>0.04</v>
      </c>
      <c r="E69" t="n">
        <v>11412</v>
      </c>
      <c r="F69" t="n">
        <v>1000000</v>
      </c>
    </row>
    <row r="70">
      <c r="A70" s="2" t="inlineStr">
        <is>
          <t>HoH</t>
        </is>
      </c>
      <c r="B70" t="n">
        <v>67716</v>
      </c>
      <c r="C70" t="n">
        <v>1436.31</v>
      </c>
      <c r="D70" s="2" t="n">
        <v>0.06</v>
      </c>
      <c r="E70" t="n">
        <v>11412</v>
      </c>
      <c r="F70" t="n">
        <v>1000000</v>
      </c>
    </row>
    <row r="71">
      <c r="A71" s="2" t="inlineStr">
        <is>
          <t>HoH</t>
        </is>
      </c>
      <c r="B71" t="n">
        <v>83804</v>
      </c>
      <c r="C71" t="n">
        <v>2401.59</v>
      </c>
      <c r="D71" s="2" t="n">
        <v>0.08</v>
      </c>
      <c r="E71" t="n">
        <v>11412</v>
      </c>
      <c r="F71" t="n">
        <v>1000000</v>
      </c>
    </row>
    <row r="72">
      <c r="A72" s="2" t="inlineStr">
        <is>
          <t>HoH</t>
        </is>
      </c>
      <c r="B72" t="n">
        <v>98990</v>
      </c>
      <c r="C72" t="n">
        <v>3616.47</v>
      </c>
      <c r="D72" s="2" t="n">
        <v>0.093</v>
      </c>
      <c r="E72" t="n">
        <v>11412</v>
      </c>
      <c r="F72" t="n">
        <v>1000000</v>
      </c>
    </row>
    <row r="73">
      <c r="A73" s="2" t="inlineStr">
        <is>
          <t>HoH</t>
        </is>
      </c>
      <c r="B73" t="n">
        <v>505208</v>
      </c>
      <c r="C73" t="n">
        <v>41394.74</v>
      </c>
      <c r="D73" s="2" t="n">
        <v>0.103</v>
      </c>
      <c r="E73" t="n">
        <v>11412</v>
      </c>
      <c r="F73" t="n">
        <v>1000000</v>
      </c>
    </row>
    <row r="74">
      <c r="A74" s="2" t="inlineStr">
        <is>
          <t>HoH</t>
        </is>
      </c>
      <c r="B74" t="n">
        <v>606251</v>
      </c>
      <c r="C74" t="n">
        <v>51802.17</v>
      </c>
      <c r="D74" s="2" t="n">
        <v>0.113</v>
      </c>
      <c r="E74" t="n">
        <v>11412</v>
      </c>
      <c r="F74" t="n">
        <v>1000000</v>
      </c>
    </row>
    <row r="75">
      <c r="A75" s="2" t="inlineStr">
        <is>
          <t>HoH</t>
        </is>
      </c>
      <c r="B75" t="n">
        <v>1010417</v>
      </c>
      <c r="C75" t="n">
        <v>97472.92999999999</v>
      </c>
      <c r="D75" s="2" t="n">
        <v>0.123</v>
      </c>
      <c r="E75" t="n">
        <v>11412</v>
      </c>
      <c r="F75" t="n">
        <v>1000000</v>
      </c>
    </row>
    <row r="76">
      <c r="A76" s="2" t="n"/>
      <c r="D76" s="2" t="n"/>
    </row>
    <row r="77">
      <c r="A77" s="2" t="inlineStr">
        <is>
          <t>Table D: Surtaxes &amp; Phaseouts</t>
        </is>
      </c>
      <c r="D77" s="2" t="n"/>
    </row>
    <row r="78">
      <c r="A78" s="2" t="inlineStr">
        <is>
          <t>Status</t>
        </is>
      </c>
      <c r="B78" t="inlineStr">
        <is>
          <t>NIIT Threshold</t>
        </is>
      </c>
      <c r="C78" t="inlineStr">
        <is>
          <t>Addl Medicare</t>
        </is>
      </c>
      <c r="D78" s="2" t="inlineStr">
        <is>
          <t>CTC Phaseout Start</t>
        </is>
      </c>
    </row>
    <row r="79">
      <c r="A79" s="2" t="inlineStr">
        <is>
          <t>Single</t>
        </is>
      </c>
      <c r="B79" t="n">
        <v>200000</v>
      </c>
      <c r="C79" t="n">
        <v>200000</v>
      </c>
      <c r="D79" s="2" t="n">
        <v>200000</v>
      </c>
    </row>
    <row r="80">
      <c r="A80" s="2" t="inlineStr">
        <is>
          <t>MFJ</t>
        </is>
      </c>
      <c r="B80" t="n">
        <v>250000</v>
      </c>
      <c r="C80" t="n">
        <v>250000</v>
      </c>
      <c r="D80" s="2" t="n">
        <v>400000</v>
      </c>
    </row>
    <row r="81">
      <c r="A81" s="2" t="inlineStr">
        <is>
          <t>MFS</t>
        </is>
      </c>
      <c r="B81" t="n">
        <v>125000</v>
      </c>
      <c r="C81" t="n">
        <v>125000</v>
      </c>
      <c r="D81" s="2" t="n">
        <v>200000</v>
      </c>
    </row>
    <row r="82">
      <c r="A82" s="2" t="inlineStr">
        <is>
          <t>HoH</t>
        </is>
      </c>
      <c r="B82" t="n">
        <v>200000</v>
      </c>
      <c r="C82" t="n">
        <v>200000</v>
      </c>
      <c r="D82" s="2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2026-04-08T16:13:45Z</dcterms:created>
  <dcterms:modified xsi:type="dcterms:W3CDTF">2026-04-08T16:13:45Z</dcterms:modified>
</cp:coreProperties>
</file>