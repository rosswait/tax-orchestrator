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t>
      </text>
    </comment>
    <comment ref="I1" authorId="0" shapeId="0">
      <text>
        <t>PAYMENT ACTION CENTER: High-level status board for current obligations.</t>
      </text>
    </comment>
    <comment ref="F2" authorId="0" shapeId="0">
      <text>
        <t>ENTER PAYMENTS HERE. Required for DUE NOW calculations.</t>
      </text>
    </comment>
    <comment ref="B4" authorId="0" shapeId="0">
      <text>
        <t>Enter total tax from last year's Federal Form 1040.</t>
      </text>
    </comment>
    <comment ref="B5" authorId="0" shapeId="0">
      <text>
        <t>Enter total tax from last year's California Form 540.</t>
      </text>
    </comment>
    <comment ref="B6" authorId="0" shapeId="0">
      <text>
        <t>Populate with last year's itemized deductions unless your situation changed. Defaults to Standard Deduction if empty or lower than the threshold.</t>
      </text>
    </comment>
    <comment ref="B7" authorId="0" shapeId="0">
      <text>
        <t>Populate with last year's itemized deductions unless your situation changed. Defaults to Standard Deduction if empty or lower than the threshold.</t>
      </text>
    </comment>
    <comment ref="B9" authorId="0" shapeId="0">
      <text>
        <t>The baseline date used for deadlines and current quarter inference (Filing Date).</t>
      </text>
    </comment>
    <comment ref="B10" authorId="0" shapeId="0">
      <text>
        <t>Automatically calculated based on the Filing Date using a 30-day buffer. This drives your Interest/Dividend projections.</t>
      </text>
    </comment>
    <comment ref="B13" authorId="0" shapeId="0">
      <text>
        <t>Manual Offset for one-off bonuses/non-recurring income.</t>
      </text>
    </comment>
    <comment ref="B14" authorId="0" shapeId="0">
      <text>
        <t>1.0 = normal earnings weight for projected future income.</t>
      </text>
    </comment>
    <comment ref="I15" authorId="0" shapeId="0">
      <text>
        <t>TAX DIAGNOSTICS: Real-time health check on rates and logic.</t>
      </text>
    </comment>
    <comment ref="B17" authorId="0" shapeId="0">
      <text>
        <t>Projects Dividends/Interest for the remainder of the year based on the Inferred Quarter (B10).</t>
      </text>
    </comment>
    <comment ref="I24" authorId="0" shapeId="0">
      <text>
        <t>Displays the quarter the logic is currently assuming for projections based on the Filing Date.</t>
      </text>
    </comment>
    <comment ref="I29" authorId="0" shapeId="0">
      <text>
        <t>HSA Verification: Checks addition back to CA income.</t>
      </text>
    </comment>
    <comment ref="I30" authorId="0" shapeId="0">
      <text>
        <t>Warns if Federal brackets are from prior years.</t>
      </text>
    </comment>
    <comment ref="I31" authorId="0" shapeId="0">
      <text>
        <t>Warns if CA brackets are from prior years.</t>
      </text>
    </comment>
    <comment ref="I32" authorId="0" shapeId="0">
      <text>
        <t>Flags red if the Filing Date is before the Tax Year start or after the January buffer ends.</t>
      </text>
    </comment>
    <comment ref="I33" authorId="0" shapeId="0">
      <text>
        <t>Warns if Head of Household is selected with zero dependents (legal but rare).</t>
      </text>
    </comment>
  </commentList>
</comments>
</file>

<file path=xl/comments/comment2.xml><?xml version="1.0" encoding="utf-8"?>
<comments xmlns="http://schemas.openxmlformats.org/spreadsheetml/2006/main">
  <authors>
    <author>Ross Wait</author>
  </authors>
  <commentList>
    <comment ref="A1" authorId="0" shapeId="0">
      <text>
        <t>YTD paystub data.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28" customWidth="1" min="1" max="1"/>
  </cols>
  <sheetData>
    <row r="1">
      <c r="A1" s="1" t="inlineStr">
        <is>
          <t>⚠️ DISCLAIMER: For Informational Purposes Only</t>
        </is>
      </c>
    </row>
    <row r="2">
      <c r="A2" t="inlineStr">
        <is>
          <t>This tool is intended for informational and educational purposes only and does not constitute professional tax, legal, or accounting advice. You should consult with a qualified tax professional before making financial decisions or filing your returns. The author assumes no liability for errors, omissions, or penalties resulting from the use of this workbook.</t>
        </is>
      </c>
    </row>
    <row r="3">
      <c r="A3" t="inlineStr"/>
    </row>
    <row r="4">
      <c r="A4" t="inlineStr">
        <is>
          <t>Quick Start Guide</t>
        </is>
      </c>
    </row>
    <row r="5">
      <c r="A5" t="inlineStr">
        <is>
          <t>Step 1: Enter your latest YTD paystub details in the 'Wage Snapshots' tab.</t>
        </is>
      </c>
    </row>
    <row r="6">
      <c r="A6" t="inlineStr">
        <is>
          <t>Step 2: Enter your latest YTD brokerage totals in 'Investment Income Snapshots'.</t>
        </is>
      </c>
    </row>
    <row r="7">
      <c r="A7" t="inlineStr">
        <is>
          <t>Step 3: (Optional) Enter your 'Prior Year Tax' liability in the Dashboard to enable Safe Harbor targets.</t>
        </is>
      </c>
    </row>
    <row r="8">
      <c r="A8" s="1" t="inlineStr">
        <is>
          <t>Step 4: (Optional) Enter your estimated 'Itemized Deductions' if you expect to exceed the Standard Deduction.</t>
        </is>
      </c>
    </row>
    <row r="9">
      <c r="A9" t="inlineStr">
        <is>
          <t>Step 5: Check the 'PAYMENT ACTION CENTER' on the Dashboard for immediate payment requirements.</t>
        </is>
      </c>
    </row>
    <row r="10">
      <c r="A10" t="inlineStr"/>
    </row>
    <row r="11">
      <c r="A11" t="inlineStr">
        <is>
          <t>Important Notes</t>
        </is>
      </c>
    </row>
    <row r="12">
      <c r="A12" t="inlineStr">
        <is>
          <t>1. Investment Income: Dividends and Interest are automatically projected for the full year based on the current quarter. Capital Gains (Short/Long term) are treated as one-off events and are NOT projected.</t>
        </is>
      </c>
    </row>
    <row r="13">
      <c r="A13" t="inlineStr">
        <is>
          <t>2. HSA (California): HSA contributions are automatically added back to CA state income as they are not deductible in California.</t>
        </is>
      </c>
    </row>
    <row r="14">
      <c r="A14" t="inlineStr">
        <is>
          <t>3. Income Projections: The engine pro-rates your remaining annual income based on the days elapsed since Jan 1. You can adjust these projections by entering values into 'Manual Income Offset' or 'Future Income Weight' in Section 1.5 of the Dashboard.</t>
        </is>
      </c>
    </row>
    <row r="15">
      <c r="A15"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C58, B9&lt;=DATE(B8,6,15), C59, B9&lt;=DATE(B8,9,15), C60, TRUE, C61)</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B58, B9&lt;=DATE(B8,6,15), B59, B9&lt;=DATE(B8,9,15), B60, TRUE, B61)</f>
        <v/>
      </c>
    </row>
    <row r="5">
      <c r="A5" s="2" t="inlineStr">
        <is>
          <t>Prior Year CA Tax (Safe Harbor)</t>
        </is>
      </c>
      <c r="B5" s="11" t="n">
        <v>0</v>
      </c>
      <c r="D5" s="6">
        <f>DATE(B8,6,15)</f>
        <v/>
      </c>
      <c r="E5" s="7" t="n"/>
      <c r="F5" s="7" t="n"/>
      <c r="G5" s="8" t="inlineStr">
        <is>
          <t>Fed Q2</t>
        </is>
      </c>
      <c r="I5" s="9" t="inlineStr">
        <is>
          <t>FED Payments YTD:</t>
        </is>
      </c>
      <c r="J5" s="12">
        <f>B52</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C65, B9&lt;=DATE(B8,6,15), C66, B9&lt;=DATE(B8,9,15), C67, TRUE, C68)</f>
        <v/>
      </c>
    </row>
    <row r="9">
      <c r="A9" s="2" t="inlineStr">
        <is>
          <t>Filing (Current)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inlineStr">
        <is>
          <t>Inferred Estimated Tax Quarter</t>
        </is>
      </c>
      <c r="B10" s="13">
        <f>MIN(4, MAX(1, ROUNDUP((MONTH(B9)-1)/3, 0)))</f>
        <v/>
      </c>
      <c r="D10" s="6">
        <f>DATE(B8+1,1,15)</f>
        <v/>
      </c>
      <c r="E10" s="7" t="n"/>
      <c r="F10" s="7" t="n"/>
      <c r="G10" s="8" t="inlineStr">
        <is>
          <t>CA Q4</t>
        </is>
      </c>
      <c r="I10" s="9" t="inlineStr">
        <is>
          <t>Next CA Target:</t>
        </is>
      </c>
      <c r="J10" s="12">
        <f>IFS(B9&lt;=DATE(B8,4,15), B65, B9&lt;=DATE(B8,6,15), B66, B9&lt;=DATE(B8,9,15), B67, TRUE, B68)</f>
        <v/>
      </c>
    </row>
    <row r="11">
      <c r="A11" s="2" t="n"/>
      <c r="B11" s="15" t="n"/>
      <c r="D11" s="2" t="n"/>
      <c r="I11" s="9" t="inlineStr">
        <is>
          <t>CA Payments YTD:</t>
        </is>
      </c>
      <c r="J11" s="12">
        <f>B54</f>
        <v/>
      </c>
    </row>
    <row r="12">
      <c r="A12" s="1" t="inlineStr">
        <is>
          <t>Projection &amp; Assumptions</t>
        </is>
      </c>
      <c r="B12" s="15" t="n"/>
      <c r="D12" s="2" t="n"/>
      <c r="I12" s="9" t="inlineStr">
        <is>
          <t>CA Status:</t>
        </is>
      </c>
      <c r="J12" s="10">
        <f>IF(J11&gt;=J10, "✅ Met (Surplus: " &amp; TEXT(J11-J10, "$#,##0") &amp; ")", "🔴 Shortfall (" &amp; TEXT(J10-J11, "$#,##0") &amp; ")")</f>
        <v/>
      </c>
    </row>
    <row r="13">
      <c r="A13" s="2" t="inlineStr">
        <is>
          <t>Manual Income Offset ($)</t>
        </is>
      </c>
      <c r="B13" s="11" t="n">
        <v>0</v>
      </c>
      <c r="D13" s="2" t="n"/>
      <c r="I13" s="9" t="n"/>
      <c r="J13" s="10" t="n"/>
    </row>
    <row r="14">
      <c r="A14" s="2" t="inlineStr">
        <is>
          <t>Future Income Weight (%)</t>
        </is>
      </c>
      <c r="B14" s="16" t="n">
        <v>1</v>
      </c>
      <c r="D14" s="2" t="n"/>
      <c r="I14" s="2" t="n"/>
    </row>
    <row r="15">
      <c r="A15" s="2" t="inlineStr">
        <is>
          <t>Remaining Year Wage Income</t>
        </is>
      </c>
      <c r="B15" s="15">
        <f>IF(MAX('Wage Snapshots'!A:A)=0, 0, (SUM('Wage Snapshots'!B:B) / MAX(1, MAX('Wage Snapshots'!A:A) - DATE(B8,1,1))) * (DATE(B8,12,31) - MAX('Wage Snapshots'!A:A)))</f>
        <v/>
      </c>
      <c r="D15" s="2" t="n"/>
      <c r="I15" s="1" t="inlineStr">
        <is>
          <t>TAX DIAGNOSTICS</t>
        </is>
      </c>
    </row>
    <row r="16">
      <c r="A16" s="2" t="inlineStr">
        <is>
          <t>Remaining Year Deductions</t>
        </is>
      </c>
      <c r="B16" s="15">
        <f>IF(MAX('Wage Snapshots'!A:A)=0, 0, (SUM('Wage Snapshots'!C:D) / MAX(1, MAX('Wage Snapshots'!A:A) - DATE(B8,1,1))) * (DATE(B8,12,31) - MAX('Wage Snapshots'!A:A)))</f>
        <v/>
      </c>
      <c r="D16" s="2" t="n"/>
      <c r="I16" s="2" t="inlineStr">
        <is>
          <t>Fed Target Method:</t>
        </is>
      </c>
      <c r="J16">
        <f>IF(B4=0, "90% Forecast", IF(B48*0.9 &lt; B4*1.1, "90% Forecast", "110% Safe Harbor"))</f>
        <v/>
      </c>
    </row>
    <row r="17">
      <c r="A17" s="2" t="inlineStr">
        <is>
          <t>Remaining Year Interest and Dividends</t>
        </is>
      </c>
      <c r="B17" s="15">
        <f>SUM('Investment Income Snapshots'!C:C) * ( (4 / B10) - 1 )</f>
        <v/>
      </c>
      <c r="D17" s="2" t="n"/>
      <c r="I17" s="2" t="inlineStr">
        <is>
          <t>CA Target Method:</t>
        </is>
      </c>
      <c r="J17">
        <f>IF(B5=0, "80% Forecast", IF(B39*0.8 &lt; B5*1.1, "80% Forecast", "110% Safe Harbor"))</f>
        <v/>
      </c>
    </row>
    <row r="18">
      <c r="A18" s="2" t="n"/>
      <c r="B18" s="15" t="n"/>
      <c r="D18" s="2" t="n"/>
      <c r="I18" s="2" t="inlineStr">
        <is>
          <t>Effective Fed Rate:</t>
        </is>
      </c>
      <c r="J18" s="17">
        <f>B48 / MAX(1, B25)</f>
        <v/>
      </c>
    </row>
    <row r="19">
      <c r="A19" s="1" t="inlineStr">
        <is>
          <t>Consolidated Income Projection</t>
        </is>
      </c>
      <c r="B19" s="15" t="n"/>
      <c r="D19" s="2" t="n"/>
      <c r="I19" s="2" t="inlineStr">
        <is>
          <t>Effective CA Rate:</t>
        </is>
      </c>
      <c r="J19" s="17">
        <f>B39 / MAX(1, B25)</f>
        <v/>
      </c>
    </row>
    <row r="20">
      <c r="A20" s="2" t="inlineStr">
        <is>
          <t>Total Projected Wage Income</t>
        </is>
      </c>
      <c r="B20" s="15">
        <f>SUM('Wage Snapshots'!B:B) + (B15 * B14) + B13</f>
        <v/>
      </c>
      <c r="D20" s="2" t="n"/>
      <c r="I20" s="2" t="inlineStr">
        <is>
          <t>Marginal Fed Bracket:</t>
        </is>
      </c>
      <c r="J20" s="17">
        <f>XLOOKUP(B30, FILTER('Tax Constants'!C3:C30, 'Tax Constants'!B3:B30=B2), FILTER('Tax Constants'!E3:E30, 'Tax Constants'!B3:B30=B2), 0, -1)</f>
        <v/>
      </c>
    </row>
    <row r="21">
      <c r="A21" s="2" t="inlineStr">
        <is>
          <t>Federal W-2 State Wages</t>
        </is>
      </c>
      <c r="B21" s="15">
        <f>B20 - SUM('Wage Snapshots'!C:D) - (B16 * B14)</f>
        <v/>
      </c>
      <c r="D21" s="2" t="n"/>
      <c r="I21" s="2" t="inlineStr">
        <is>
          <t>Marginal CA Bracket:</t>
        </is>
      </c>
      <c r="J21" s="17">
        <f>XLOOKUP(B36, FILTER('Tax Constants'!C49:C84, 'Tax Constants'!B49:B84=B2), FILTER('Tax Constants'!E49:E84, 'Tax Constants'!B49:B84=B2), 0, -1)</f>
        <v/>
      </c>
    </row>
    <row r="22">
      <c r="A22" s="2" t="inlineStr">
        <is>
          <t>CA W-2 State Wages</t>
        </is>
      </c>
      <c r="B22" s="15">
        <f>B20 - SUM('Wage Snapshots'!C:C) - (SUM('Wage Snapshots'!C:C)/MAX(1, SUM('Wage Snapshots'!C:D))) * B16 * B14</f>
        <v/>
      </c>
      <c r="D22" s="2" t="n"/>
      <c r="I22" s="2" t="inlineStr">
        <is>
          <t>Deduction Applied:</t>
        </is>
      </c>
      <c r="J22">
        <f>IF(B6&gt;XLOOKUP(B2, 'Tax Constants'!B3:B30, 'Tax Constants'!F3:F30, 0), "ITEMIZED", "STANDARD")</f>
        <v/>
      </c>
    </row>
    <row r="23">
      <c r="A23" s="2" t="inlineStr">
        <is>
          <t>Investment Ordinary (Div/Int + STG)</t>
        </is>
      </c>
      <c r="B23" s="15">
        <f>SUM('Investment Income Snapshots'!C:C) + B17 + SUM('Investment Income Snapshots'!D:D)</f>
        <v/>
      </c>
      <c r="D23" s="2" t="n"/>
      <c r="I23" s="2" t="inlineStr">
        <is>
          <t>Bracket Year:</t>
        </is>
      </c>
      <c r="J23" s="13" t="n">
        <v>2025</v>
      </c>
    </row>
    <row r="24">
      <c r="A24" s="2" t="inlineStr">
        <is>
          <t>Investment Preferential (LTG Only)</t>
        </is>
      </c>
      <c r="B24" s="15">
        <f>SUM('Investment Income Snapshots'!E:E)</f>
        <v/>
      </c>
      <c r="D24" s="2" t="n"/>
      <c r="I24" s="2" t="inlineStr">
        <is>
          <t>Inferred Quarter:</t>
        </is>
      </c>
      <c r="J24" s="13">
        <f>B10</f>
        <v/>
      </c>
    </row>
    <row r="25">
      <c r="A25" s="2" t="inlineStr">
        <is>
          <t>Total Projected Federal AGI</t>
        </is>
      </c>
      <c r="B25" s="15">
        <f>B21 + B23 + B24</f>
        <v/>
      </c>
      <c r="D25" s="2" t="n"/>
      <c r="I25" s="2" t="n"/>
    </row>
    <row r="26">
      <c r="A26" s="2" t="inlineStr">
        <is>
          <t>Total Projected CA AGI</t>
        </is>
      </c>
      <c r="B26" s="15">
        <f>B22 + B23 + B24</f>
        <v/>
      </c>
      <c r="D26" s="2" t="n"/>
      <c r="I26" s="1" t="inlineStr">
        <is>
          <t>ACTIVE WARNINGS</t>
        </is>
      </c>
    </row>
    <row r="27">
      <c r="A27" s="2" t="n"/>
      <c r="B27" s="15" t="n"/>
      <c r="D27" s="2" t="n"/>
      <c r="I27" s="2" t="inlineStr">
        <is>
          <t>Stale Snapshots:</t>
        </is>
      </c>
      <c r="J27">
        <f>IF(OR(MAX('Wage Snapshots'!A:A)=0, (B9 - MAX('Wage Snapshots'!A:A)) &gt; 30), "🔴 !!! 30+ DAYS OLD !!!", "OK")</f>
        <v/>
      </c>
    </row>
    <row r="28">
      <c r="A28" s="1" t="inlineStr">
        <is>
          <t>Federal Tax Calculation</t>
        </is>
      </c>
      <c r="B28" s="15" t="n"/>
      <c r="D28" s="2" t="n"/>
      <c r="I28" s="2" t="inlineStr">
        <is>
          <t>Prior Year Data:</t>
        </is>
      </c>
      <c r="J28">
        <f>IF(B4=0, "🔴 WARNING: FED MISSING", "OK")</f>
        <v/>
      </c>
    </row>
    <row r="29">
      <c r="A29" s="2" t="inlineStr">
        <is>
          <t>Deduction Applied (Max Std/Item)</t>
        </is>
      </c>
      <c r="B29" s="15">
        <f>MAX(XLOOKUP(B2, 'Tax Constants'!B3:B30, 'Tax Constants'!F3:F30, 0), B6)</f>
        <v/>
      </c>
      <c r="D29" s="2" t="n"/>
      <c r="I29" s="2" t="inlineStr">
        <is>
          <t>HSA Verification (CA):</t>
        </is>
      </c>
      <c r="J29">
        <f>IF(SUM('Wage Snapshots'!D:D)=0, "✅ No HSA Detected", IF(B22=B21, "🔴 ERR: HSA NOT ADDED TO CA", "✅ HSA Corrected (CA)"))</f>
        <v/>
      </c>
    </row>
    <row r="30">
      <c r="A30" s="2" t="inlineStr">
        <is>
          <t>Ordinary Taxable Income</t>
        </is>
      </c>
      <c r="B30" s="15">
        <f>MAX(0, B25 - B29 - B24)</f>
        <v/>
      </c>
      <c r="D30" s="2" t="n"/>
      <c r="I30" s="2" t="inlineStr">
        <is>
          <t>Fed Brackets Stale:</t>
        </is>
      </c>
      <c r="J30">
        <f>IF(B8 &gt; J23, "⚠️ FED STALE: "&amp;B8&amp;" brackets missing, using 2025 instead", "OK")</f>
        <v/>
      </c>
    </row>
    <row r="31">
      <c r="A31" s="2" t="inlineStr">
        <is>
          <t>Ordinary Income Tax</t>
        </is>
      </c>
      <c r="B31" s="15">
        <f>XLOOKUP(B30, FILTER('Tax Constants'!C3:C30, 'Tax Constants'!B3:B30=B2), FILTER('Tax Constants'!D3:D30, 'Tax Constants'!B3:B30=B2), 0, -1) + (B30 - XLOOKUP(B30, FILTER('Tax Constants'!C3:C30, 'Tax Constants'!B3:B30=B2), FILTER('Tax Constants'!C3:C30, 'Tax Constants'!B3:B30=B2), 0, -1)) * XLOOKUP(B30, FILTER('Tax Constants'!C3:C30, 'Tax Constants'!B3:B30=B2), FILTER('Tax Constants'!E3:E30, 'Tax Constants'!B3:B30=B2), 0, -1)</f>
        <v/>
      </c>
      <c r="D31" s="2" t="n"/>
      <c r="I31" s="2" t="inlineStr">
        <is>
          <t>CA Brackets Stale:</t>
        </is>
      </c>
      <c r="J31">
        <f>IF(B8 &gt; J23, "⚠️ CA STALE: "&amp;B8&amp;" brackets missing, using 2025 instead", "OK")</f>
        <v/>
      </c>
    </row>
    <row r="32">
      <c r="A32" s="2" t="inlineStr">
        <is>
          <t>Capital Gains Tax</t>
        </is>
      </c>
      <c r="B32" s="15">
        <f>IF(B24&gt;0, B24 * XLOOKUP(B30+B24, FILTER('Tax Constants'!C34:C45, 'Tax Constants'!B34:B45=B2), FILTER('Tax Constants'!D34:D45, 'Tax Constants'!B34:B45=B2), 0, -1), 0)</f>
        <v/>
      </c>
      <c r="D32" s="2" t="n"/>
      <c r="I32" s="2" t="inlineStr">
        <is>
          <t>Filing Date Validity:</t>
        </is>
      </c>
      <c r="J32">
        <f>IF(OR(B9 &lt; DATE(B8,1,1), B9 &gt; DATE(B8+1,1,30)), "🔴 ERR: DATE OUT OF RANGE", "OK")</f>
        <v/>
      </c>
    </row>
    <row r="33">
      <c r="A33" s="2" t="n"/>
      <c r="B33" s="15" t="n"/>
      <c r="D33" s="2" t="n"/>
      <c r="I33" s="2" t="inlineStr">
        <is>
          <t>HOH Dependents:</t>
        </is>
      </c>
      <c r="J33">
        <f>IF(AND(B2="HoH", B3=0), "⚠️ Head of Household with 0 dependents is unusual", "OK")</f>
        <v/>
      </c>
    </row>
    <row r="34">
      <c r="A34" s="1" t="inlineStr">
        <is>
          <t>CA Tax Calculation</t>
        </is>
      </c>
      <c r="B34" s="15" t="n"/>
      <c r="D34" s="2" t="n"/>
      <c r="I34" s="2" t="n"/>
    </row>
    <row r="35">
      <c r="A35" s="2" t="inlineStr">
        <is>
          <t>CA Deduction Applied</t>
        </is>
      </c>
      <c r="B35" s="15">
        <f>MAX(XLOOKUP(B2, 'Tax Constants'!B49:B84, 'Tax Constants'!F49:F84, 0), B7)</f>
        <v/>
      </c>
      <c r="D35" s="2" t="n"/>
      <c r="I35" s="2" t="n"/>
    </row>
    <row r="36">
      <c r="A36" s="2" t="inlineStr">
        <is>
          <t>CA Taxable Income</t>
        </is>
      </c>
      <c r="B36" s="15">
        <f>MAX(0, B26 - B35)</f>
        <v/>
      </c>
      <c r="D36" s="2" t="n"/>
      <c r="I36" s="2" t="n"/>
    </row>
    <row r="37">
      <c r="A37" s="2" t="inlineStr">
        <is>
          <t>CA Regular Tax</t>
        </is>
      </c>
      <c r="B37" s="15">
        <f>XLOOKUP(B36, FILTER('Tax Constants'!C49:C84, 'Tax Constants'!B49:B84=B2), FILTER('Tax Constants'!D49:D84, 'Tax Constants'!B49:B84=B2), 0, -1) + (B36 - XLOOKUP(B36, FILTER('Tax Constants'!C49:C84, 'Tax Constants'!B49:B84=B2), FILTER('Tax Constants'!C49:C84, 'Tax Constants'!B49:B84=B2), 0, -1)) * XLOOKUP(B36, FILTER('Tax Constants'!C49:C84, 'Tax Constants'!B49:B84=B2), FILTER('Tax Constants'!E49:E84, 'Tax Constants'!B49:B84=B2), 0, -1)</f>
        <v/>
      </c>
      <c r="D37" s="2" t="n"/>
      <c r="I37" s="2" t="n"/>
    </row>
    <row r="38">
      <c r="A38" s="2" t="inlineStr">
        <is>
          <t>CA MH Surcharge (1%)</t>
        </is>
      </c>
      <c r="B38" s="15">
        <f>IF(B36 &gt; 1000000, (B36 - 1000000) * 0.01, 0)</f>
        <v/>
      </c>
      <c r="D38" s="2" t="n"/>
      <c r="I38" s="2" t="n"/>
    </row>
    <row r="39">
      <c r="A39" s="2" t="inlineStr">
        <is>
          <t>Total CA Liability</t>
        </is>
      </c>
      <c r="B39" s="15">
        <f>B37 + B38</f>
        <v/>
      </c>
      <c r="D39" s="2" t="n"/>
      <c r="I39" s="2" t="n"/>
    </row>
    <row r="40">
      <c r="A40" s="2" t="n"/>
      <c r="B40" s="15" t="n"/>
      <c r="D40" s="2" t="n"/>
      <c r="I40" s="2" t="n"/>
    </row>
    <row r="41">
      <c r="A41" s="2" t="inlineStr">
        <is>
          <t>Final Liability &amp; Surtaxes</t>
        </is>
      </c>
      <c r="B41" s="15" t="n"/>
      <c r="D41" s="2" t="n"/>
      <c r="I41" s="2" t="n"/>
    </row>
    <row r="42">
      <c r="A42" s="2" t="inlineStr">
        <is>
          <t>NIIT Threshold</t>
        </is>
      </c>
      <c r="B42" s="15">
        <f>XLOOKUP(B2, 'Tax Constants'!B88:B91, 'Tax Constants'!C88:C91, 200000)</f>
        <v/>
      </c>
      <c r="D42" s="2" t="n"/>
      <c r="I42" s="2" t="n"/>
    </row>
    <row r="43">
      <c r="A43" s="2" t="inlineStr">
        <is>
          <t>NIIT (Fed)</t>
        </is>
      </c>
      <c r="B43" s="15">
        <f>IF(B25 &gt; B42, 0.038 * MIN(B25-B42, B23+B24), 0)</f>
        <v/>
      </c>
      <c r="D43" s="2" t="n"/>
      <c r="I43" s="2" t="n"/>
    </row>
    <row r="44">
      <c r="A44" s="2" t="inlineStr">
        <is>
          <t>Addl Medicare Threshold</t>
        </is>
      </c>
      <c r="B44" s="15">
        <f>XLOOKUP(B2, 'Tax Constants'!B88:B91, 'Tax Constants'!D88:D91, 200000)</f>
        <v/>
      </c>
      <c r="D44" s="2" t="n"/>
      <c r="I44" s="2" t="n"/>
    </row>
    <row r="45">
      <c r="A45" s="2" t="inlineStr">
        <is>
          <t>Addl Medicare (Fed)</t>
        </is>
      </c>
      <c r="B45" s="15">
        <f>IF(B20 &gt; B44, 0.009 * (B20-B44), 0)</f>
        <v/>
      </c>
      <c r="D45" s="2" t="n"/>
      <c r="I45" s="2" t="n"/>
    </row>
    <row r="46">
      <c r="A46" s="2" t="inlineStr">
        <is>
          <t>CTC Phaseout Start</t>
        </is>
      </c>
      <c r="B46" s="15">
        <f>XLOOKUP(B2, 'Tax Constants'!B88:B91, 'Tax Constants'!E88:E91, 200000)</f>
        <v/>
      </c>
      <c r="D46" s="2" t="n"/>
      <c r="I46" s="2" t="n"/>
    </row>
    <row r="47">
      <c r="A47" s="2" t="inlineStr">
        <is>
          <t>Child Tax Credit</t>
        </is>
      </c>
      <c r="B47" s="15">
        <f>IF(B25 &gt; B46, MAX(0, (B3*2000)-((B25-B46)/1000)*50), B3*2000)</f>
        <v/>
      </c>
      <c r="D47" s="2" t="n"/>
      <c r="I47" s="2" t="n"/>
    </row>
    <row r="48">
      <c r="A48" s="2" t="inlineStr">
        <is>
          <t>Total Federal Liability</t>
        </is>
      </c>
      <c r="B48" s="15">
        <f>B31 + B32 + B43 + B45 - B47</f>
        <v/>
      </c>
      <c r="D48" s="2" t="n"/>
      <c r="I48" s="2" t="n"/>
    </row>
    <row r="49">
      <c r="A49" s="2" t="n"/>
      <c r="B49" s="15" t="n"/>
      <c r="D49" s="2" t="n"/>
      <c r="I49" s="2" t="n"/>
    </row>
    <row r="50">
      <c r="A50" s="1" t="inlineStr">
        <is>
          <t>Payment Requirements</t>
        </is>
      </c>
      <c r="B50" s="15" t="n"/>
      <c r="D50" s="2" t="n"/>
      <c r="I50" s="2" t="n"/>
    </row>
    <row r="51">
      <c r="A51" s="2" t="inlineStr">
        <is>
          <t>Fed Target</t>
        </is>
      </c>
      <c r="B51" s="15">
        <f>IF(B4=0, B48 * 0.9, MIN(B48 * 0.9, B4 * 1.1))</f>
        <v/>
      </c>
      <c r="D51" s="2" t="n"/>
      <c r="I51" s="2" t="n"/>
    </row>
    <row r="52">
      <c r="A52" s="2" t="inlineStr">
        <is>
          <t>Total Fed Payments YTD</t>
        </is>
      </c>
      <c r="B52" s="15">
        <f>SUM('Wage Snapshots'!E:E) + SUMIFS(F3:F10, G3:G10, "Fed*")</f>
        <v/>
      </c>
      <c r="D52" s="2" t="n"/>
      <c r="I52" s="2" t="n"/>
    </row>
    <row r="53">
      <c r="A53" s="2" t="inlineStr">
        <is>
          <t>CA Target</t>
        </is>
      </c>
      <c r="B53" s="15">
        <f>IF(B5=0, B39 * 0.8, MIN(B39 * 0.8, B5 * 1.1))</f>
        <v/>
      </c>
      <c r="D53" s="2" t="n"/>
      <c r="I53" s="2" t="n"/>
    </row>
    <row r="54">
      <c r="A54" s="2" t="inlineStr">
        <is>
          <t>Total CA Payments YTD</t>
        </is>
      </c>
      <c r="B54" s="15">
        <f>SUM('Wage Snapshots'!F:F) + SUMIFS(F3:F10, G3:G10, "CA*")</f>
        <v/>
      </c>
      <c r="D54" s="2" t="n"/>
      <c r="I54" s="2" t="n"/>
    </row>
    <row r="55">
      <c r="A55" s="2" t="n"/>
      <c r="D55" s="2" t="n"/>
      <c r="I55" s="2" t="n"/>
    </row>
    <row r="56">
      <c r="A56" s="2" t="n"/>
      <c r="D56" s="2" t="n"/>
      <c r="I56" s="2" t="n"/>
    </row>
    <row r="57">
      <c r="A57" s="1" t="inlineStr">
        <is>
          <t>FEDERAL PAYMENT SCHEDULE</t>
        </is>
      </c>
      <c r="D57" s="2" t="n"/>
      <c r="I57" s="2" t="n"/>
    </row>
    <row r="58">
      <c r="A58" s="2" t="inlineStr">
        <is>
          <t>Q1 (Apr 15)</t>
        </is>
      </c>
      <c r="B58" s="15">
        <f>B51 * 0.25</f>
        <v/>
      </c>
      <c r="C58" s="15">
        <f>MAX(0, B58 - B52)</f>
        <v/>
      </c>
      <c r="D58" s="2" t="n"/>
      <c r="I58" s="2" t="n"/>
    </row>
    <row r="59">
      <c r="A59" s="2" t="inlineStr">
        <is>
          <t>Q2 (Jun 15)</t>
        </is>
      </c>
      <c r="B59" s="15">
        <f>B51 * 0.5</f>
        <v/>
      </c>
      <c r="C59" s="15">
        <f>MAX(0, B59 - B52)</f>
        <v/>
      </c>
      <c r="D59" s="2" t="n"/>
      <c r="I59" s="2" t="n"/>
    </row>
    <row r="60">
      <c r="A60" s="2" t="inlineStr">
        <is>
          <t>Q3 (Sep 15)</t>
        </is>
      </c>
      <c r="B60" s="15">
        <f>B51 * 0.75</f>
        <v/>
      </c>
      <c r="C60" s="15">
        <f>MAX(0, B60 - B52)</f>
        <v/>
      </c>
      <c r="D60" s="2" t="n"/>
      <c r="I60" s="2" t="n"/>
    </row>
    <row r="61">
      <c r="A61" s="2" t="inlineStr">
        <is>
          <t>Q4 (Jan 15)</t>
        </is>
      </c>
      <c r="B61" s="15">
        <f>B51 * 1.0</f>
        <v/>
      </c>
      <c r="C61" s="15">
        <f>MAX(0, B61 - B52)</f>
        <v/>
      </c>
      <c r="D61" s="2" t="n"/>
      <c r="I61" s="2" t="n"/>
    </row>
    <row r="62">
      <c r="A62" s="2" t="n"/>
      <c r="B62" s="15" t="n"/>
      <c r="C62" s="15" t="n"/>
      <c r="D62" s="2" t="n"/>
      <c r="I62" s="2" t="n"/>
    </row>
    <row r="63">
      <c r="A63" s="2" t="n"/>
      <c r="B63" s="15" t="n"/>
      <c r="C63" s="15" t="n"/>
      <c r="D63" s="2" t="n"/>
      <c r="I63" s="2" t="n"/>
    </row>
    <row r="64">
      <c r="A64" s="1" t="inlineStr">
        <is>
          <t>STATE PAYMENT SCHEDULE</t>
        </is>
      </c>
      <c r="B64" s="15" t="n"/>
      <c r="C64" s="15" t="n"/>
      <c r="D64" s="2" t="n"/>
      <c r="I64" s="2" t="n"/>
    </row>
    <row r="65">
      <c r="A65" s="2" t="inlineStr">
        <is>
          <t>Q1 (Apr 15)</t>
        </is>
      </c>
      <c r="B65" s="15">
        <f>B53 * 0.3</f>
        <v/>
      </c>
      <c r="C65" s="15">
        <f>MAX(0, B65 - B54)</f>
        <v/>
      </c>
      <c r="D65" s="2" t="n"/>
      <c r="I65" s="2" t="n"/>
    </row>
    <row r="66">
      <c r="A66" s="2" t="inlineStr">
        <is>
          <t>Q2 (Jun 15)</t>
        </is>
      </c>
      <c r="B66" s="15">
        <f>B53 * 0.7</f>
        <v/>
      </c>
      <c r="C66" s="15">
        <f>MAX(0, B66 - B54)</f>
        <v/>
      </c>
      <c r="D66" s="2" t="n"/>
      <c r="I66" s="2" t="n"/>
    </row>
    <row r="67">
      <c r="A67" s="2" t="inlineStr">
        <is>
          <t>Q3 (Sep 15)</t>
        </is>
      </c>
      <c r="B67" s="15">
        <f>B53 * 0.7</f>
        <v/>
      </c>
      <c r="C67" s="15">
        <f>MAX(0, B67 - B54)</f>
        <v/>
      </c>
      <c r="D67" s="2" t="n"/>
      <c r="I67" s="2" t="n"/>
    </row>
    <row r="68">
      <c r="A68" s="2" t="inlineStr">
        <is>
          <t>Q4 (Jan 15)</t>
        </is>
      </c>
      <c r="B68" s="15">
        <f>B53 * 1.0</f>
        <v/>
      </c>
      <c r="C68" s="15">
        <f>MAX(0, B68 - B54)</f>
        <v/>
      </c>
      <c r="D68" s="2" t="n"/>
      <c r="I68"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2026-04-11T20:41:59Z</dcterms:created>
  <dcterms:modified xsi:type="dcterms:W3CDTF">2026-04-11T20:41:59Z</dcterms:modified>
</cp:coreProperties>
</file>