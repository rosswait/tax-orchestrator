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ashboard" sheetId="2" state="visible" r:id="rId2"/>
    <sheet name="Investment Income Snapshots" sheetId="3" state="visible" r:id="rId3"/>
    <sheet name="Wage Snapshots" sheetId="4" state="visible" r:id="rId4"/>
    <sheet name="Tax Constants" sheetId="5" state="visible" r:id="rId5"/>
    <sheet name="Parsing Instructions for Agents" sheetId="6" state="visible" r:id="rId6"/>
  </sheets>
  <definedNames/>
  <calcPr calcId="124519" fullCalcOnLoad="1"/>
</workbook>
</file>

<file path=xl/styles.xml><?xml version="1.0" encoding="utf-8"?>
<styleSheet xmlns="http://schemas.openxmlformats.org/spreadsheetml/2006/main">
  <numFmts count="2">
    <numFmt numFmtId="164" formatCode="&quot;$&quot;#,##0.00"/>
    <numFmt numFmtId="165" formatCode="mm/dd/yyyy"/>
  </numFmts>
  <fonts count="4">
    <font>
      <name val="Calibri"/>
      <family val="2"/>
      <color theme="1"/>
      <sz val="11"/>
      <scheme val="minor"/>
    </font>
    <font>
      <b val="1"/>
      <color rgb="00FFFFFF"/>
      <sz val="11"/>
    </font>
    <font>
      <b val="1"/>
    </font>
    <font>
      <b val="1"/>
      <color rgb="00FF0000"/>
    </font>
  </fonts>
  <fills count="5">
    <fill>
      <patternFill/>
    </fill>
    <fill>
      <patternFill patternType="gray125"/>
    </fill>
    <fill>
      <patternFill patternType="solid">
        <fgColor rgb="002F75B5"/>
        <bgColor rgb="002F75B5"/>
      </patternFill>
    </fill>
    <fill>
      <patternFill patternType="solid">
        <fgColor rgb="00FFF2CC"/>
        <bgColor rgb="00FFF2CC"/>
      </patternFill>
    </fill>
    <fill>
      <patternFill patternType="solid">
        <fgColor rgb="00DDEBF7"/>
        <bgColor rgb="00DDEBF7"/>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0" borderId="0" pivotButton="0" quotePrefix="0" xfId="0"/>
    <xf numFmtId="0" fontId="0" fillId="3" borderId="0" pivotButton="0" quotePrefix="0" xfId="0"/>
    <xf numFmtId="0" fontId="3" fillId="4" borderId="0" pivotButton="0" quotePrefix="0" xfId="0"/>
    <xf numFmtId="164" fontId="3" fillId="4" borderId="0" pivotButton="0" quotePrefix="0" xfId="0"/>
    <xf numFmtId="165" fontId="2" fillId="3" borderId="0" pivotButton="0" quotePrefix="0" xfId="0"/>
    <xf numFmtId="164" fontId="2" fillId="3" borderId="0" pivotButton="0" quotePrefix="0" xfId="0"/>
    <xf numFmtId="0" fontId="2" fillId="3" borderId="0" pivotButton="0" quotePrefix="0" xfId="0"/>
    <xf numFmtId="0" fontId="2" fillId="4" borderId="0" pivotButton="0" quotePrefix="0" xfId="0"/>
    <xf numFmtId="0" fontId="0" fillId="4" borderId="0" pivotButton="0" quotePrefix="0" xfId="0"/>
    <xf numFmtId="164" fontId="0" fillId="3" borderId="0" pivotButton="0" quotePrefix="0" xfId="0"/>
    <xf numFmtId="164" fontId="0" fillId="4" borderId="0" pivotButton="0" quotePrefix="0" xfId="0"/>
    <xf numFmtId="1" fontId="0" fillId="0" borderId="0" pivotButton="0" quotePrefix="0" xfId="0"/>
    <xf numFmtId="165" fontId="0" fillId="3" borderId="0" pivotButton="0" quotePrefix="0" xfId="0"/>
    <xf numFmtId="164" fontId="0" fillId="0" borderId="0" pivotButton="0" quotePrefix="0" xfId="0"/>
    <xf numFmtId="10" fontId="0" fillId="3" borderId="0" pivotButton="0" quotePrefix="0" xfId="0"/>
    <xf numFmtId="1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Ross Wait</author>
  </authors>
  <commentList>
    <comment ref="D1" authorId="0" shapeId="0">
      <text>
        <t>Record your quarterly estimated tax payments made directly to the IRS or FTB here.</t>
      </text>
    </comment>
    <comment ref="I1" authorId="0" shapeId="0">
      <text>
        <t>PAYMENT ACTION CENTER: High-level status board for current obligations.</t>
      </text>
    </comment>
    <comment ref="F2" authorId="0" shapeId="0">
      <text>
        <t>ENTER PAYMENTS HERE. Required for DUE NOW calculations.</t>
      </text>
    </comment>
    <comment ref="B4" authorId="0" shapeId="0">
      <text>
        <t>Enter total tax from last year's Federal Form 1040.</t>
      </text>
    </comment>
    <comment ref="B6" authorId="0" shapeId="0">
      <text>
        <t>Populate with last year's itemized deductions unless your situation changed. Defaults to Standard Deduction if empty or lower than the threshold.</t>
      </text>
    </comment>
    <comment ref="B9" authorId="0" shapeId="0">
      <text>
        <t>The baseline date used for deadlines and current quarter inference (Filing Date).</t>
      </text>
    </comment>
    <comment ref="B10" authorId="0" shapeId="0">
      <text>
        <t>Automatically calculated based on the Filing Date using a 30-day buffer. This drives your Interest/Dividend projections.</t>
      </text>
    </comment>
    <comment ref="B13" authorId="0" shapeId="0">
      <text>
        <t>Manual Offset for one-off bonuses/non-recurring income.</t>
      </text>
    </comment>
    <comment ref="B14" authorId="0" shapeId="0">
      <text>
        <t>1.0 = normal earnings weight for projected future income.</t>
      </text>
    </comment>
    <comment ref="I15" authorId="0" shapeId="0">
      <text>
        <t>TAX DIAGNOSTICS: Real-time health check on rates and logic.</t>
      </text>
    </comment>
    <comment ref="B17" authorId="0" shapeId="0">
      <text>
        <t>Projects Dividends/Interest for the remainder of the year based on the Inferred Quarter (B10).</t>
      </text>
    </comment>
    <comment ref="I24" authorId="0" shapeId="0">
      <text>
        <t>Displays the quarter the logic is currently assuming for projections based on the Filing Date.</t>
      </text>
    </comment>
    <comment ref="I30" authorId="0" shapeId="0">
      <text>
        <t>Warns if Federal brackets are from prior years.</t>
      </text>
    </comment>
    <comment ref="I32" authorId="0" shapeId="0">
      <text>
        <t>Flags red if the Filing Date is before the Tax Year start or after the January buffer ends.</t>
      </text>
    </comment>
    <comment ref="I33" authorId="0" shapeId="0">
      <text>
        <t>Warns if Head of Household is selected with zero dependents (legal but rare).</t>
      </text>
    </comment>
  </commentList>
</comments>
</file>

<file path=xl/comments/comment2.xml><?xml version="1.0" encoding="utf-8"?>
<comments xmlns="http://schemas.openxmlformats.org/spreadsheetml/2006/main">
  <authors>
    <author>Ross Wait</author>
  </authors>
  <commentList>
    <comment ref="A1" authorId="0" shapeId="0">
      <text>
        <t>YTD paystub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28" customWidth="1" min="1" max="1"/>
  </cols>
  <sheetData>
    <row r="1">
      <c r="A1" s="1" t="inlineStr">
        <is>
          <t>⚠️ DISCLAIMER: For Informational Purposes Only</t>
        </is>
      </c>
    </row>
    <row r="2">
      <c r="A2" t="inlineStr">
        <is>
          <t>This tool is intended for informational and educational purposes only and does not constitute professional tax, legal, or accounting advice. You should consult with a qualified tax professional before making financial decisions or filing your returns. The author assumes no liability for errors, omissions, or penalties resulting from the use of this workbook.</t>
        </is>
      </c>
    </row>
    <row r="3">
      <c r="A3" t="inlineStr"/>
    </row>
    <row r="4">
      <c r="A4" t="inlineStr">
        <is>
          <t>Quick Start Guide</t>
        </is>
      </c>
    </row>
    <row r="5">
      <c r="A5" t="inlineStr">
        <is>
          <t>Step 1: Enter your latest YTD paystub details in the 'Wage Snapshots' tab.</t>
        </is>
      </c>
    </row>
    <row r="6">
      <c r="A6" t="inlineStr">
        <is>
          <t>Step 2: Enter your latest YTD brokerage totals in 'Investment Income Snapshots'.</t>
        </is>
      </c>
    </row>
    <row r="7">
      <c r="A7" t="inlineStr">
        <is>
          <t>Step 3: (Optional) Enter your 'Prior Year Tax' liability in the Dashboard to enable Safe Harbor targets.</t>
        </is>
      </c>
    </row>
    <row r="8">
      <c r="A8" s="1" t="inlineStr">
        <is>
          <t>Step 4: (Optional) Enter your estimated 'Itemized Deductions' if you expect to exceed the Standard Deduction.</t>
        </is>
      </c>
    </row>
    <row r="9">
      <c r="A9" t="inlineStr">
        <is>
          <t>Step 5: Check the 'PAYMENT ACTION CENTER' on the Dashboard for immediate payment requirements.</t>
        </is>
      </c>
    </row>
    <row r="10">
      <c r="A10" t="inlineStr"/>
    </row>
    <row r="11">
      <c r="A11" t="inlineStr">
        <is>
          <t>Important Notes</t>
        </is>
      </c>
    </row>
    <row r="12">
      <c r="A12" t="inlineStr">
        <is>
          <t>1. Investment Income: Dividends and Interest are automatically projected for the full year based on the current quarter. Capital Gains (Short/Long term) are treated as one-off events and are NOT projected.</t>
        </is>
      </c>
    </row>
    <row r="13">
      <c r="A13" t="inlineStr">
        <is>
          <t>2. HSA (California): HSA contributions are automatically added back to CA state income as they are not deductible in California.</t>
        </is>
      </c>
    </row>
    <row r="14">
      <c r="A14" t="inlineStr">
        <is>
          <t>3. Income Projections: The engine pro-rates your remaining annual income based on the days elapsed since Jan 1. You can adjust these projections by entering values into 'Manual Income Offset' or 'Future Income Weight' in Section 1.5 of the Dashboard.</t>
        </is>
      </c>
    </row>
    <row r="15">
      <c r="A15" t="inlineStr">
        <is>
          <t>4. YTD Methodology: Always use Year-to-Date (YTD) totals from your statements. Overwrite existing rows as new statements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28" customWidth="1" min="1" max="1"/>
    <col width="12" customWidth="1" min="2" max="2"/>
    <col width="12" customWidth="1" min="3" max="3"/>
    <col width="28" customWidth="1" min="4" max="4"/>
    <col width="28" customWidth="1" min="5" max="5"/>
    <col width="28" customWidth="1" min="6" max="6"/>
    <col width="12" customWidth="1" min="7" max="7"/>
    <col width="12" customWidth="1" min="8" max="8"/>
    <col width="23" customWidth="1" min="9" max="9"/>
    <col width="12" customWidth="1" min="10" max="10"/>
  </cols>
  <sheetData>
    <row r="1">
      <c r="A1" s="1" t="inlineStr">
        <is>
          <t>Configuration</t>
        </is>
      </c>
      <c r="D1" s="1" t="inlineStr">
        <is>
          <t>Estimated Tax Payments Ledger</t>
        </is>
      </c>
      <c r="I1" s="1" t="inlineStr">
        <is>
          <t>PAYMENT ACTION CENTER</t>
        </is>
      </c>
      <c r="J1" s="1" t="n"/>
    </row>
    <row r="2">
      <c r="A2" s="2" t="inlineStr">
        <is>
          <t>Filing Status (Single)</t>
        </is>
      </c>
      <c r="B2" s="3" t="inlineStr">
        <is>
          <t>Single</t>
        </is>
      </c>
      <c r="D2" s="2" t="inlineStr">
        <is>
          <t>Date</t>
        </is>
      </c>
      <c r="E2" s="2" t="inlineStr">
        <is>
          <t>Calculated Estimate (Optional)</t>
        </is>
      </c>
      <c r="F2" s="2" t="inlineStr">
        <is>
          <t>Actual Payment Made (Required)</t>
        </is>
      </c>
      <c r="G2" s="2" t="inlineStr">
        <is>
          <t>Note</t>
        </is>
      </c>
      <c r="I2" s="4" t="inlineStr">
        <is>
          <t>FED DUE NOW:</t>
        </is>
      </c>
      <c r="J2" s="5">
        <f>IFS(B9&lt;=DATE(B8,4,15), C58, B9&lt;=DATE(B8,6,15), C59, B9&lt;=DATE(B8,9,15), C60, TRUE, C61)</f>
        <v/>
      </c>
    </row>
    <row r="3">
      <c r="A3" s="2" t="inlineStr">
        <is>
          <t>Dependents (Under 17)</t>
        </is>
      </c>
      <c r="B3" s="3" t="n">
        <v>0</v>
      </c>
      <c r="D3" s="6">
        <f>DATE(B8,4,15)</f>
        <v/>
      </c>
      <c r="E3" s="7" t="n"/>
      <c r="F3" s="7" t="n"/>
      <c r="G3" s="8" t="inlineStr">
        <is>
          <t>Fed Q1</t>
        </is>
      </c>
      <c r="I3" s="9" t="inlineStr">
        <is>
          <t>BY DEADLINE:</t>
        </is>
      </c>
      <c r="J3" s="10">
        <f>IFS(B9&lt;=DATE(B8,4,15), "04/15/"&amp;B8, B9&lt;=DATE(B8,6,15), "06/15/"&amp;B8, B9&lt;=DATE(B8,9,15), "09/15/"&amp;B8, TRUE, "01/15/"&amp;(B8+1))</f>
        <v/>
      </c>
    </row>
    <row r="4">
      <c r="A4" s="2" t="inlineStr">
        <is>
          <t>Prior Year Fed Tax (Safe Harbor)</t>
        </is>
      </c>
      <c r="B4" s="11" t="n">
        <v>0</v>
      </c>
      <c r="D4" s="6" t="n"/>
      <c r="E4" s="7" t="n"/>
      <c r="F4" s="7" t="n"/>
      <c r="G4" s="8" t="n"/>
      <c r="I4" s="9" t="inlineStr">
        <is>
          <t>Next FED Target:</t>
        </is>
      </c>
      <c r="J4" s="12">
        <f>IFS(B9&lt;=DATE(B8,4,15), B58, B9&lt;=DATE(B8,6,15), B59, B9&lt;=DATE(B8,9,15), B60, TRUE, B61)</f>
        <v/>
      </c>
    </row>
    <row r="5">
      <c r="A5" s="2" t="n"/>
      <c r="B5" s="11" t="n"/>
      <c r="D5" s="6">
        <f>DATE(B8,6,15)</f>
        <v/>
      </c>
      <c r="E5" s="7" t="n"/>
      <c r="F5" s="7" t="n"/>
      <c r="G5" s="8" t="inlineStr">
        <is>
          <t>Fed Q2</t>
        </is>
      </c>
      <c r="I5" s="9" t="inlineStr">
        <is>
          <t>FED Payments YTD:</t>
        </is>
      </c>
      <c r="J5" s="12">
        <f>B52</f>
        <v/>
      </c>
    </row>
    <row r="6">
      <c r="A6" s="2" t="inlineStr">
        <is>
          <t>Estimated Fed Itemized Deduction</t>
        </is>
      </c>
      <c r="B6" s="11" t="n">
        <v>0</v>
      </c>
      <c r="D6" s="6" t="n"/>
      <c r="E6" s="7" t="n"/>
      <c r="F6" s="7" t="n"/>
      <c r="G6" s="8" t="n"/>
      <c r="I6" s="9" t="inlineStr">
        <is>
          <t>FED Status:</t>
        </is>
      </c>
      <c r="J6" s="10">
        <f>IF(J5&gt;=J4, "✅ Met (Surplus: " &amp; TEXT(J5-J4, "$#,##0") &amp; ")", "🔴 Shortfall (" &amp; TEXT(J4-J5, "$#,##0") &amp; ")")</f>
        <v/>
      </c>
    </row>
    <row r="7">
      <c r="A7" s="2" t="n"/>
      <c r="B7" s="11" t="n"/>
      <c r="D7" s="6">
        <f>DATE(B8,9,15)</f>
        <v/>
      </c>
      <c r="E7" s="7" t="n"/>
      <c r="F7" s="7" t="n"/>
      <c r="G7" s="8" t="inlineStr">
        <is>
          <t>Fed Q3</t>
        </is>
      </c>
      <c r="I7" s="9" t="n"/>
      <c r="J7" s="10" t="n"/>
    </row>
    <row r="8">
      <c r="A8" s="2" t="inlineStr">
        <is>
          <t>Estimated Tax Year</t>
        </is>
      </c>
      <c r="B8" s="13">
        <f>IF(AND(MONTH(B9)=1, DAY(B9)&lt;=30), YEAR(B9)-1, YEAR(B9))</f>
        <v/>
      </c>
      <c r="D8" s="6" t="n"/>
      <c r="E8" s="7" t="n"/>
      <c r="F8" s="7" t="n"/>
      <c r="G8" s="8" t="n"/>
      <c r="I8" s="4" t="n"/>
      <c r="J8" s="5" t="n"/>
    </row>
    <row r="9">
      <c r="A9" s="2" t="inlineStr">
        <is>
          <t>Filing (Current) Date</t>
        </is>
      </c>
      <c r="B9" s="14">
        <f>TODAY()</f>
        <v/>
      </c>
      <c r="D9" s="6">
        <f>DATE(B8+1,1,15)</f>
        <v/>
      </c>
      <c r="E9" s="7" t="n"/>
      <c r="F9" s="7" t="n"/>
      <c r="G9" s="8" t="inlineStr">
        <is>
          <t>Fed Q4</t>
        </is>
      </c>
      <c r="I9" s="9" t="n"/>
      <c r="J9" s="10" t="n"/>
    </row>
    <row r="10">
      <c r="A10" s="2" t="inlineStr">
        <is>
          <t>Inferred Estimated Tax Quarter</t>
        </is>
      </c>
      <c r="B10" s="13">
        <f>MIN(4, MAX(1, ROUNDUP((MONTH(B9)-1)/3, 0)))</f>
        <v/>
      </c>
      <c r="D10" s="6" t="n"/>
      <c r="E10" s="7" t="n"/>
      <c r="F10" s="7" t="n"/>
      <c r="G10" s="8" t="n"/>
      <c r="I10" s="9" t="n"/>
      <c r="J10" s="12" t="n"/>
    </row>
    <row r="11">
      <c r="A11" s="2" t="n"/>
      <c r="B11" s="15" t="n"/>
      <c r="D11" s="2" t="n"/>
      <c r="I11" s="9" t="n"/>
      <c r="J11" s="12" t="n"/>
    </row>
    <row r="12">
      <c r="A12" s="1" t="inlineStr">
        <is>
          <t>Projection &amp; Assumptions</t>
        </is>
      </c>
      <c r="B12" s="15" t="n"/>
      <c r="D12" s="2" t="n"/>
      <c r="I12" s="9" t="n"/>
      <c r="J12" s="10" t="n"/>
    </row>
    <row r="13">
      <c r="A13" s="2" t="inlineStr">
        <is>
          <t>Manual Income Offset ($)</t>
        </is>
      </c>
      <c r="B13" s="11" t="n">
        <v>0</v>
      </c>
      <c r="D13" s="2" t="n"/>
      <c r="I13" s="9" t="n"/>
      <c r="J13" s="10" t="n"/>
    </row>
    <row r="14">
      <c r="A14" s="2" t="inlineStr">
        <is>
          <t>Future Income Weight (%)</t>
        </is>
      </c>
      <c r="B14" s="16" t="n">
        <v>1</v>
      </c>
      <c r="D14" s="2" t="n"/>
      <c r="I14" s="2" t="n"/>
    </row>
    <row r="15">
      <c r="A15" s="2" t="inlineStr">
        <is>
          <t>Remaining Year Wage Income</t>
        </is>
      </c>
      <c r="B15" s="15">
        <f>IF(MAX('Wage Snapshots'!A:A)=0, 0, (SUM('Wage Snapshots'!B:B) / MAX(1, MAX('Wage Snapshots'!A:A) - DATE(B8,1,1))) * (DATE(B8,12,31) - MAX('Wage Snapshots'!A:A)))</f>
        <v/>
      </c>
      <c r="D15" s="2" t="n"/>
      <c r="I15" s="1" t="inlineStr">
        <is>
          <t>TAX DIAGNOSTICS</t>
        </is>
      </c>
    </row>
    <row r="16">
      <c r="A16" s="2" t="inlineStr">
        <is>
          <t>Remaining Year Deductions</t>
        </is>
      </c>
      <c r="B16" s="15">
        <f>IF(MAX('Wage Snapshots'!A:A)=0, 0, (SUM('Wage Snapshots'!C:D) / MAX(1, MAX('Wage Snapshots'!A:A) - DATE(B8,1,1))) * (DATE(B8,12,31) - MAX('Wage Snapshots'!A:A)))</f>
        <v/>
      </c>
      <c r="D16" s="2" t="n"/>
      <c r="I16" s="2" t="inlineStr">
        <is>
          <t>Fed Target Method:</t>
        </is>
      </c>
      <c r="J16">
        <f>IF(B4=0, "90% Forecast", IF(B48*0.9 &lt; B4*1.1, "90% Forecast", "110% Safe Harbor"))</f>
        <v/>
      </c>
    </row>
    <row r="17">
      <c r="A17" s="2" t="inlineStr">
        <is>
          <t>Remaining Year Interest and Dividends</t>
        </is>
      </c>
      <c r="B17" s="15">
        <f>SUM('Investment Income Snapshots'!C:C) * ( (4 / B10) - 1 )</f>
        <v/>
      </c>
      <c r="D17" s="2" t="n"/>
      <c r="I17" s="2" t="n"/>
    </row>
    <row r="18">
      <c r="A18" s="2" t="n"/>
      <c r="B18" s="15" t="n"/>
      <c r="D18" s="2" t="n"/>
      <c r="I18" s="2" t="inlineStr">
        <is>
          <t>Effective Fed Rate:</t>
        </is>
      </c>
      <c r="J18" s="17">
        <f>B48 / MAX(1, B25)</f>
        <v/>
      </c>
    </row>
    <row r="19">
      <c r="A19" s="1" t="inlineStr">
        <is>
          <t>Consolidated Income Projection</t>
        </is>
      </c>
      <c r="B19" s="15" t="n"/>
      <c r="D19" s="2" t="n"/>
      <c r="I19" s="2" t="n"/>
      <c r="J19" s="17" t="n"/>
    </row>
    <row r="20">
      <c r="A20" s="2" t="inlineStr">
        <is>
          <t>Total Projected Wage Income</t>
        </is>
      </c>
      <c r="B20" s="15">
        <f>SUM('Wage Snapshots'!B:B) + (B15 * B14) + B13</f>
        <v/>
      </c>
      <c r="D20" s="2" t="n"/>
      <c r="I20" s="2" t="inlineStr">
        <is>
          <t>Marginal Fed Bracket:</t>
        </is>
      </c>
      <c r="J20" s="17">
        <f>XLOOKUP(B30, FILTER('Tax Constants'!C3:C30, 'Tax Constants'!B3:B30=B2), FILTER('Tax Constants'!E3:E30, 'Tax Constants'!B3:B30=B2), 0, -1)</f>
        <v/>
      </c>
    </row>
    <row r="21">
      <c r="A21" s="2" t="inlineStr">
        <is>
          <t>Federal W-2 State Wages</t>
        </is>
      </c>
      <c r="B21" s="15">
        <f>B20 - SUM('Wage Snapshots'!C:D) - (B16 * B14)</f>
        <v/>
      </c>
      <c r="D21" s="2" t="n"/>
      <c r="I21" s="2" t="n"/>
      <c r="J21" s="17" t="n"/>
    </row>
    <row r="22">
      <c r="A22" s="2" t="n"/>
      <c r="B22" s="15" t="n"/>
      <c r="D22" s="2" t="n"/>
      <c r="I22" s="2" t="inlineStr">
        <is>
          <t>Deduction Applied:</t>
        </is>
      </c>
      <c r="J22">
        <f>IF(B6&gt;XLOOKUP(B2, 'Tax Constants'!B3:B30, 'Tax Constants'!F3:F30, 0), "ITEMIZED", "STANDARD")</f>
        <v/>
      </c>
    </row>
    <row r="23">
      <c r="A23" s="2" t="inlineStr">
        <is>
          <t>Investment Ordinary (Div/Int + STG)</t>
        </is>
      </c>
      <c r="B23" s="15">
        <f>SUM('Investment Income Snapshots'!C:C) + B17 + SUM('Investment Income Snapshots'!D:D)</f>
        <v/>
      </c>
      <c r="D23" s="2" t="n"/>
      <c r="I23" s="2" t="inlineStr">
        <is>
          <t>Bracket Year:</t>
        </is>
      </c>
      <c r="J23" s="13" t="n">
        <v>2025</v>
      </c>
    </row>
    <row r="24">
      <c r="A24" s="2" t="inlineStr">
        <is>
          <t>Investment Preferential (LTG Only)</t>
        </is>
      </c>
      <c r="B24" s="15">
        <f>SUM('Investment Income Snapshots'!E:E)</f>
        <v/>
      </c>
      <c r="D24" s="2" t="n"/>
      <c r="I24" s="2" t="inlineStr">
        <is>
          <t>Inferred Quarter:</t>
        </is>
      </c>
      <c r="J24" s="13">
        <f>B10</f>
        <v/>
      </c>
    </row>
    <row r="25">
      <c r="A25" s="2" t="inlineStr">
        <is>
          <t>Total Projected Federal AGI</t>
        </is>
      </c>
      <c r="B25" s="15">
        <f>B21 + B23 + B24</f>
        <v/>
      </c>
      <c r="D25" s="2" t="n"/>
      <c r="I25" s="2" t="n"/>
    </row>
    <row r="26">
      <c r="A26" s="2" t="n"/>
      <c r="B26" s="15" t="n"/>
      <c r="D26" s="2" t="n"/>
      <c r="I26" s="1" t="inlineStr">
        <is>
          <t>ACTIVE WARNINGS</t>
        </is>
      </c>
    </row>
    <row r="27">
      <c r="A27" s="2" t="n"/>
      <c r="B27" s="15" t="n"/>
      <c r="D27" s="2" t="n"/>
      <c r="I27" s="2" t="inlineStr">
        <is>
          <t>Stale Snapshots:</t>
        </is>
      </c>
      <c r="J27">
        <f>IF(OR(MAX('Wage Snapshots'!A:A)=0, (B9 - MAX('Wage Snapshots'!A:A)) &gt; 30), "🔴 !!! 30+ DAYS OLD !!!", "OK")</f>
        <v/>
      </c>
    </row>
    <row r="28">
      <c r="A28" s="1" t="inlineStr">
        <is>
          <t>Federal Tax Calculation</t>
        </is>
      </c>
      <c r="B28" s="15" t="n"/>
      <c r="D28" s="2" t="n"/>
      <c r="I28" s="2" t="inlineStr">
        <is>
          <t>Prior Year Data:</t>
        </is>
      </c>
      <c r="J28">
        <f>IF(B4=0, "🔴 WARNING: FED MISSING", "OK")</f>
        <v/>
      </c>
    </row>
    <row r="29">
      <c r="A29" s="2" t="inlineStr">
        <is>
          <t>Deduction Applied (Max Std/Item)</t>
        </is>
      </c>
      <c r="B29" s="15">
        <f>MAX(XLOOKUP(B2, 'Tax Constants'!B3:B30, 'Tax Constants'!F3:F30, 0), B6)</f>
        <v/>
      </c>
      <c r="D29" s="2" t="n"/>
      <c r="I29" s="2" t="n"/>
    </row>
    <row r="30">
      <c r="A30" s="2" t="inlineStr">
        <is>
          <t>Ordinary Taxable Income</t>
        </is>
      </c>
      <c r="B30" s="15">
        <f>MAX(0, B25 - B29 - B24)</f>
        <v/>
      </c>
      <c r="D30" s="2" t="n"/>
      <c r="I30" s="2" t="inlineStr">
        <is>
          <t>Fed Brackets Stale:</t>
        </is>
      </c>
      <c r="J30">
        <f>IF(B8 &gt; J23, "⚠️ FED STALE: "&amp;B8&amp;" brackets missing, using 2025 instead", "OK")</f>
        <v/>
      </c>
    </row>
    <row r="31">
      <c r="A31" s="2" t="inlineStr">
        <is>
          <t>Ordinary Income Tax</t>
        </is>
      </c>
      <c r="B31" s="15">
        <f>XLOOKUP(B30, FILTER('Tax Constants'!C3:C30, 'Tax Constants'!B3:B30=B2), FILTER('Tax Constants'!D3:D30, 'Tax Constants'!B3:B30=B2), 0, -1) + (B30 - XLOOKUP(B30, FILTER('Tax Constants'!C3:C30, 'Tax Constants'!B3:B30=B2), FILTER('Tax Constants'!C3:C30, 'Tax Constants'!B3:B30=B2), 0, -1)) * XLOOKUP(B30, FILTER('Tax Constants'!C3:C30, 'Tax Constants'!B3:B30=B2), FILTER('Tax Constants'!E3:E30, 'Tax Constants'!B3:B30=B2), 0, -1)</f>
        <v/>
      </c>
      <c r="D31" s="2" t="n"/>
      <c r="I31" s="2" t="n"/>
    </row>
    <row r="32">
      <c r="A32" s="2" t="inlineStr">
        <is>
          <t>Capital Gains Tax</t>
        </is>
      </c>
      <c r="B32" s="15">
        <f>IF(B24&gt;0, B24 * XLOOKUP(B30+B24, FILTER('Tax Constants'!C34:C45, 'Tax Constants'!B34:B45=B2), FILTER('Tax Constants'!D34:D45, 'Tax Constants'!B34:B45=B2), 0, -1), 0)</f>
        <v/>
      </c>
      <c r="D32" s="2" t="n"/>
      <c r="I32" s="2" t="inlineStr">
        <is>
          <t>Filing Date Validity:</t>
        </is>
      </c>
      <c r="J32">
        <f>IF(OR(B9 &lt; DATE(B8,1,1), B9 &gt; DATE(B8+1,1,30)), "🔴 ERR: DATE OUT OF RANGE", "OK")</f>
        <v/>
      </c>
    </row>
    <row r="33">
      <c r="A33" s="2" t="n"/>
      <c r="B33" s="15" t="n"/>
      <c r="D33" s="2" t="n"/>
      <c r="I33" s="2" t="inlineStr">
        <is>
          <t>HOH Dependents:</t>
        </is>
      </c>
      <c r="J33">
        <f>IF(AND(B2="HoH", B3=0), "⚠️ Head of Household with 0 dependents is unusual", "OK")</f>
        <v/>
      </c>
    </row>
    <row r="34" hidden="1">
      <c r="A34" s="2" t="n"/>
      <c r="B34" s="15" t="n"/>
      <c r="D34" s="2" t="n"/>
      <c r="I34" s="2" t="n"/>
    </row>
    <row r="35" hidden="1">
      <c r="A35" s="2" t="n"/>
      <c r="B35" s="15" t="n"/>
      <c r="D35" s="2" t="n"/>
      <c r="I35" s="2" t="n"/>
    </row>
    <row r="36" hidden="1">
      <c r="A36" s="2" t="n"/>
      <c r="B36" s="15" t="n"/>
      <c r="D36" s="2" t="n"/>
      <c r="I36" s="2" t="n"/>
    </row>
    <row r="37" hidden="1">
      <c r="A37" s="2" t="n"/>
      <c r="B37" s="15" t="n"/>
      <c r="D37" s="2" t="n"/>
      <c r="I37" s="2" t="n"/>
    </row>
    <row r="38" hidden="1">
      <c r="A38" s="2" t="n"/>
      <c r="B38" s="15" t="n"/>
      <c r="D38" s="2" t="n"/>
      <c r="I38" s="2" t="n"/>
    </row>
    <row r="39" hidden="1">
      <c r="A39" s="2" t="n"/>
      <c r="B39" s="15" t="n"/>
      <c r="D39" s="2" t="n"/>
      <c r="I39" s="2" t="n"/>
    </row>
    <row r="40">
      <c r="A40" s="2" t="n"/>
      <c r="B40" s="15" t="n"/>
      <c r="D40" s="2" t="n"/>
      <c r="I40" s="2" t="n"/>
    </row>
    <row r="41">
      <c r="A41" s="2" t="inlineStr">
        <is>
          <t>Final Liability &amp; Surtaxes</t>
        </is>
      </c>
      <c r="B41" s="15" t="n"/>
      <c r="D41" s="2" t="n"/>
      <c r="I41" s="2" t="n"/>
    </row>
    <row r="42">
      <c r="A42" s="2" t="inlineStr">
        <is>
          <t>NIIT Threshold</t>
        </is>
      </c>
      <c r="B42" s="15">
        <f>XLOOKUP(B2, 'Tax Constants'!B88:B91, 'Tax Constants'!C88:C91, 200000)</f>
        <v/>
      </c>
      <c r="D42" s="2" t="n"/>
      <c r="I42" s="2" t="n"/>
    </row>
    <row r="43">
      <c r="A43" s="2" t="inlineStr">
        <is>
          <t>NIIT (Fed)</t>
        </is>
      </c>
      <c r="B43" s="15">
        <f>IF(B25 &gt; B42, 0.038 * MIN(B25-B42, B23+B24), 0)</f>
        <v/>
      </c>
      <c r="D43" s="2" t="n"/>
      <c r="I43" s="2" t="n"/>
    </row>
    <row r="44">
      <c r="A44" s="2" t="inlineStr">
        <is>
          <t>Addl Medicare Threshold</t>
        </is>
      </c>
      <c r="B44" s="15">
        <f>XLOOKUP(B2, 'Tax Constants'!B88:B91, 'Tax Constants'!D88:D91, 200000)</f>
        <v/>
      </c>
      <c r="D44" s="2" t="n"/>
      <c r="I44" s="2" t="n"/>
    </row>
    <row r="45">
      <c r="A45" s="2" t="inlineStr">
        <is>
          <t>Addl Medicare (Fed)</t>
        </is>
      </c>
      <c r="B45" s="15">
        <f>IF(B20 &gt; B44, 0.009 * (B20-B44), 0)</f>
        <v/>
      </c>
      <c r="D45" s="2" t="n"/>
      <c r="I45" s="2" t="n"/>
    </row>
    <row r="46">
      <c r="A46" s="2" t="inlineStr">
        <is>
          <t>CTC Phaseout Start</t>
        </is>
      </c>
      <c r="B46" s="15">
        <f>XLOOKUP(B2, 'Tax Constants'!B88:B91, 'Tax Constants'!E88:E91, 200000)</f>
        <v/>
      </c>
      <c r="D46" s="2" t="n"/>
      <c r="I46" s="2" t="n"/>
    </row>
    <row r="47">
      <c r="A47" s="2" t="inlineStr">
        <is>
          <t>Child Tax Credit</t>
        </is>
      </c>
      <c r="B47" s="15">
        <f>IF(B25 &gt; B46, MAX(0, (B3*2000)-((B25-B46)/1000)*50), B3*2000)</f>
        <v/>
      </c>
      <c r="D47" s="2" t="n"/>
      <c r="I47" s="2" t="n"/>
    </row>
    <row r="48">
      <c r="A48" s="2" t="inlineStr">
        <is>
          <t>Total Federal Liability</t>
        </is>
      </c>
      <c r="B48" s="15">
        <f>B31 + B32 + B43 + B45 - B47</f>
        <v/>
      </c>
      <c r="D48" s="2" t="n"/>
      <c r="I48" s="2" t="n"/>
    </row>
    <row r="49">
      <c r="A49" s="2" t="n"/>
      <c r="B49" s="15" t="n"/>
      <c r="D49" s="2" t="n"/>
      <c r="I49" s="2" t="n"/>
    </row>
    <row r="50">
      <c r="A50" s="1" t="inlineStr">
        <is>
          <t>Payment Requirements</t>
        </is>
      </c>
      <c r="B50" s="15" t="n"/>
      <c r="D50" s="2" t="n"/>
      <c r="I50" s="2" t="n"/>
    </row>
    <row r="51">
      <c r="A51" s="2" t="inlineStr">
        <is>
          <t>Fed Target</t>
        </is>
      </c>
      <c r="B51" s="15">
        <f>IF(B4=0, B48 * 0.9, MIN(B48 * 0.9, B4 * 1.1))</f>
        <v/>
      </c>
      <c r="D51" s="2" t="n"/>
      <c r="I51" s="2" t="n"/>
    </row>
    <row r="52">
      <c r="A52" s="2" t="inlineStr">
        <is>
          <t>Total Fed Payments YTD</t>
        </is>
      </c>
      <c r="B52" s="15">
        <f>SUM('Wage Snapshots'!E:E) + SUMIFS(F3:F10, G3:G10, "Fed*")</f>
        <v/>
      </c>
      <c r="D52" s="2" t="n"/>
      <c r="I52" s="2" t="n"/>
    </row>
    <row r="53" hidden="1">
      <c r="A53" s="2" t="n"/>
      <c r="B53" s="15" t="n"/>
      <c r="D53" s="2" t="n"/>
      <c r="I53" s="2" t="n"/>
    </row>
    <row r="54" hidden="1">
      <c r="A54" s="2" t="n"/>
      <c r="B54" s="15" t="n"/>
      <c r="D54" s="2" t="n"/>
      <c r="I54" s="2" t="n"/>
    </row>
    <row r="55">
      <c r="A55" s="2" t="n"/>
      <c r="D55" s="2" t="n"/>
      <c r="I55" s="2" t="n"/>
    </row>
    <row r="56">
      <c r="A56" s="2" t="n"/>
      <c r="D56" s="2" t="n"/>
      <c r="I56" s="2" t="n"/>
    </row>
    <row r="57">
      <c r="A57" s="1" t="inlineStr">
        <is>
          <t>FEDERAL PAYMENT SCHEDULE</t>
        </is>
      </c>
      <c r="D57" s="2" t="n"/>
      <c r="I57" s="2" t="n"/>
    </row>
    <row r="58">
      <c r="A58" s="2" t="inlineStr">
        <is>
          <t>Q1 (Apr 15)</t>
        </is>
      </c>
      <c r="B58" s="15">
        <f>B51 * 0.25</f>
        <v/>
      </c>
      <c r="C58" s="15">
        <f>MAX(0, B58 - B52)</f>
        <v/>
      </c>
      <c r="D58" s="2" t="n"/>
      <c r="I58" s="2" t="n"/>
    </row>
    <row r="59">
      <c r="A59" s="2" t="inlineStr">
        <is>
          <t>Q2 (Jun 15)</t>
        </is>
      </c>
      <c r="B59" s="15">
        <f>B51 * 0.5</f>
        <v/>
      </c>
      <c r="C59" s="15">
        <f>MAX(0, B59 - B52)</f>
        <v/>
      </c>
      <c r="D59" s="2" t="n"/>
      <c r="I59" s="2" t="n"/>
    </row>
    <row r="60">
      <c r="A60" s="2" t="inlineStr">
        <is>
          <t>Q3 (Sep 15)</t>
        </is>
      </c>
      <c r="B60" s="15">
        <f>B51 * 0.75</f>
        <v/>
      </c>
      <c r="C60" s="15">
        <f>MAX(0, B60 - B52)</f>
        <v/>
      </c>
      <c r="D60" s="2" t="n"/>
      <c r="I60" s="2" t="n"/>
    </row>
    <row r="61">
      <c r="A61" s="2" t="inlineStr">
        <is>
          <t>Q4 (Jan 15)</t>
        </is>
      </c>
      <c r="B61" s="15">
        <f>B51 * 1.0</f>
        <v/>
      </c>
      <c r="C61" s="15">
        <f>MAX(0, B61 - B52)</f>
        <v/>
      </c>
      <c r="D61" s="2" t="n"/>
      <c r="I61" s="2" t="n"/>
    </row>
    <row r="64" hidden="1"/>
    <row r="65" hidden="1"/>
    <row r="66" hidden="1"/>
    <row r="67" hidden="1"/>
    <row r="68" hidden="1"/>
  </sheetData>
  <dataValidations count="1">
    <dataValidation sqref="B2" showDropDown="0" showInputMessage="0" showErrorMessage="1" allowBlank="0" type="list">
      <formula1>"Single,MFJ,MFS,HoH"</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12" customWidth="1" min="2" max="2"/>
    <col width="22" customWidth="1" min="3" max="3"/>
    <col width="18" customWidth="1" min="4" max="4"/>
    <col width="17" customWidth="1" min="5" max="5"/>
  </cols>
  <sheetData>
    <row r="1">
      <c r="A1" s="1" t="inlineStr">
        <is>
          <t>Quarter</t>
        </is>
      </c>
      <c r="B1" s="1" t="inlineStr">
        <is>
          <t>Broker</t>
        </is>
      </c>
      <c r="C1" s="1" t="inlineStr">
        <is>
          <t>Dividends &amp; Interest</t>
        </is>
      </c>
      <c r="D1" s="1" t="inlineStr">
        <is>
          <t>Short-Term Gains</t>
        </is>
      </c>
      <c r="E1" s="1" t="inlineStr">
        <is>
          <t>Long-Term Gains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8" customWidth="1" min="2" max="2"/>
    <col width="20" customWidth="1" min="3" max="3"/>
    <col width="19" customWidth="1" min="4" max="4"/>
    <col width="18" customWidth="1" min="5" max="5"/>
    <col hidden="1" width="17" customWidth="1" min="6" max="6"/>
    <col width="14" customWidth="1" min="7" max="7"/>
  </cols>
  <sheetData>
    <row r="1">
      <c r="A1" s="1" t="inlineStr">
        <is>
          <t>Date</t>
        </is>
      </c>
      <c r="B1" s="1" t="inlineStr">
        <is>
          <t>Gross W-2 Income</t>
        </is>
      </c>
      <c r="C1" s="1" t="inlineStr">
        <is>
          <t>Pre-tax Deductions</t>
        </is>
      </c>
      <c r="D1" s="1" t="inlineStr">
        <is>
          <t>HSA Contributions</t>
        </is>
      </c>
      <c r="E1" s="1" t="inlineStr">
        <is>
          <t>Fed Tax Withheld</t>
        </is>
      </c>
      <c r="F1" s="1" t="inlineStr">
        <is>
          <t>CA Tax Withheld</t>
        </is>
      </c>
      <c r="G1" s="1" t="inlineStr">
        <is>
          <t>FICA/Med/SDI</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8" customWidth="1" min="1" max="1"/>
    <col width="12" customWidth="1" min="2" max="2"/>
    <col width="16" customWidth="1" min="3" max="3"/>
    <col width="15" customWidth="1" min="4" max="4"/>
    <col width="20" customWidth="1" min="5" max="5"/>
    <col width="20" customWidth="1" min="6" max="6"/>
  </cols>
  <sheetData>
    <row r="1">
      <c r="A1" s="1" t="inlineStr">
        <is>
          <t>Table A: Federal Brackets (Ordinary Income)</t>
        </is>
      </c>
      <c r="B1" s="1" t="n"/>
      <c r="C1" s="1" t="n"/>
      <c r="D1" s="1" t="n"/>
      <c r="E1" s="1" t="n"/>
      <c r="F1" s="1" t="n"/>
    </row>
    <row r="2">
      <c r="A2" t="inlineStr">
        <is>
          <t>Year</t>
        </is>
      </c>
      <c r="B2" t="inlineStr">
        <is>
          <t>Status</t>
        </is>
      </c>
      <c r="C2" t="inlineStr">
        <is>
          <t>Bracket Floor</t>
        </is>
      </c>
      <c r="D2" t="inlineStr">
        <is>
          <t>Base Tax</t>
        </is>
      </c>
      <c r="E2" t="inlineStr">
        <is>
          <t>Marginal Rate</t>
        </is>
      </c>
      <c r="F2" t="inlineStr">
        <is>
          <t>Standard Deduction</t>
        </is>
      </c>
    </row>
    <row r="3">
      <c r="A3" t="n">
        <v>2025</v>
      </c>
      <c r="B3" t="inlineStr">
        <is>
          <t>Single</t>
        </is>
      </c>
      <c r="C3" t="n">
        <v>0</v>
      </c>
      <c r="D3" t="n">
        <v>0</v>
      </c>
      <c r="E3" t="n">
        <v>0.1</v>
      </c>
      <c r="F3" t="n">
        <v>15000</v>
      </c>
    </row>
    <row r="4">
      <c r="A4" t="n">
        <v>2025</v>
      </c>
      <c r="B4" t="inlineStr">
        <is>
          <t>Single</t>
        </is>
      </c>
      <c r="C4" t="n">
        <v>11925</v>
      </c>
      <c r="D4" t="n">
        <v>1192.5</v>
      </c>
      <c r="E4" t="n">
        <v>0.12</v>
      </c>
      <c r="F4" t="n">
        <v>15000</v>
      </c>
    </row>
    <row r="5">
      <c r="A5" t="n">
        <v>2025</v>
      </c>
      <c r="B5" t="inlineStr">
        <is>
          <t>Single</t>
        </is>
      </c>
      <c r="C5" t="n">
        <v>48475</v>
      </c>
      <c r="D5" t="n">
        <v>5578.5</v>
      </c>
      <c r="E5" t="n">
        <v>0.22</v>
      </c>
      <c r="F5" t="n">
        <v>15000</v>
      </c>
    </row>
    <row r="6">
      <c r="A6" t="n">
        <v>2025</v>
      </c>
      <c r="B6" t="inlineStr">
        <is>
          <t>Single</t>
        </is>
      </c>
      <c r="C6" t="n">
        <v>103350</v>
      </c>
      <c r="D6" t="n">
        <v>17651</v>
      </c>
      <c r="E6" t="n">
        <v>0.24</v>
      </c>
      <c r="F6" t="n">
        <v>15000</v>
      </c>
    </row>
    <row r="7">
      <c r="A7" t="n">
        <v>2025</v>
      </c>
      <c r="B7" t="inlineStr">
        <is>
          <t>Single</t>
        </is>
      </c>
      <c r="C7" t="n">
        <v>197300</v>
      </c>
      <c r="D7" t="n">
        <v>40199</v>
      </c>
      <c r="E7" t="n">
        <v>0.32</v>
      </c>
      <c r="F7" t="n">
        <v>15000</v>
      </c>
    </row>
    <row r="8">
      <c r="A8" t="n">
        <v>2025</v>
      </c>
      <c r="B8" t="inlineStr">
        <is>
          <t>Single</t>
        </is>
      </c>
      <c r="C8" t="n">
        <v>250525</v>
      </c>
      <c r="D8" t="n">
        <v>57231</v>
      </c>
      <c r="E8" t="n">
        <v>0.35</v>
      </c>
      <c r="F8" t="n">
        <v>15000</v>
      </c>
    </row>
    <row r="9">
      <c r="A9" t="n">
        <v>2025</v>
      </c>
      <c r="B9" t="inlineStr">
        <is>
          <t>Single</t>
        </is>
      </c>
      <c r="C9" t="n">
        <v>626350</v>
      </c>
      <c r="D9" t="n">
        <v>188770</v>
      </c>
      <c r="E9" t="n">
        <v>0.37</v>
      </c>
      <c r="F9" t="n">
        <v>15000</v>
      </c>
    </row>
    <row r="10">
      <c r="A10" t="n">
        <v>2025</v>
      </c>
      <c r="B10" t="inlineStr">
        <is>
          <t>MFJ</t>
        </is>
      </c>
      <c r="C10" t="n">
        <v>0</v>
      </c>
      <c r="D10" t="n">
        <v>0</v>
      </c>
      <c r="E10" t="n">
        <v>0.1</v>
      </c>
      <c r="F10" t="n">
        <v>30000</v>
      </c>
    </row>
    <row r="11">
      <c r="A11" t="n">
        <v>2025</v>
      </c>
      <c r="B11" t="inlineStr">
        <is>
          <t>MFJ</t>
        </is>
      </c>
      <c r="C11" t="n">
        <v>23850</v>
      </c>
      <c r="D11" t="n">
        <v>2385</v>
      </c>
      <c r="E11" t="n">
        <v>0.12</v>
      </c>
      <c r="F11" t="n">
        <v>30000</v>
      </c>
    </row>
    <row r="12">
      <c r="A12" t="n">
        <v>2025</v>
      </c>
      <c r="B12" t="inlineStr">
        <is>
          <t>MFJ</t>
        </is>
      </c>
      <c r="C12" t="n">
        <v>96950</v>
      </c>
      <c r="D12" t="n">
        <v>11157</v>
      </c>
      <c r="E12" t="n">
        <v>0.22</v>
      </c>
      <c r="F12" t="n">
        <v>30000</v>
      </c>
    </row>
    <row r="13">
      <c r="A13" t="n">
        <v>2025</v>
      </c>
      <c r="B13" t="inlineStr">
        <is>
          <t>MFJ</t>
        </is>
      </c>
      <c r="C13" t="n">
        <v>206700</v>
      </c>
      <c r="D13" t="n">
        <v>35302</v>
      </c>
      <c r="E13" t="n">
        <v>0.24</v>
      </c>
      <c r="F13" t="n">
        <v>30000</v>
      </c>
    </row>
    <row r="14">
      <c r="A14" t="n">
        <v>2025</v>
      </c>
      <c r="B14" t="inlineStr">
        <is>
          <t>MFJ</t>
        </is>
      </c>
      <c r="C14" t="n">
        <v>394600</v>
      </c>
      <c r="D14" t="n">
        <v>80398</v>
      </c>
      <c r="E14" t="n">
        <v>0.32</v>
      </c>
      <c r="F14" t="n">
        <v>30000</v>
      </c>
    </row>
    <row r="15">
      <c r="A15" t="n">
        <v>2025</v>
      </c>
      <c r="B15" t="inlineStr">
        <is>
          <t>MFJ</t>
        </is>
      </c>
      <c r="C15" t="n">
        <v>501050</v>
      </c>
      <c r="D15" t="n">
        <v>114462</v>
      </c>
      <c r="E15" t="n">
        <v>0.35</v>
      </c>
      <c r="F15" t="n">
        <v>30000</v>
      </c>
    </row>
    <row r="16">
      <c r="A16" t="n">
        <v>2025</v>
      </c>
      <c r="B16" t="inlineStr">
        <is>
          <t>MFJ</t>
        </is>
      </c>
      <c r="C16" t="n">
        <v>751600</v>
      </c>
      <c r="D16" t="n">
        <v>202154.5</v>
      </c>
      <c r="E16" t="n">
        <v>0.37</v>
      </c>
      <c r="F16" t="n">
        <v>30000</v>
      </c>
    </row>
    <row r="17">
      <c r="A17" t="n">
        <v>2025</v>
      </c>
      <c r="B17" t="inlineStr">
        <is>
          <t>MFS</t>
        </is>
      </c>
      <c r="C17" t="n">
        <v>0</v>
      </c>
      <c r="D17" t="n">
        <v>0</v>
      </c>
      <c r="E17" t="n">
        <v>0.1</v>
      </c>
      <c r="F17" t="n">
        <v>15000</v>
      </c>
    </row>
    <row r="18">
      <c r="A18" t="n">
        <v>2025</v>
      </c>
      <c r="B18" t="inlineStr">
        <is>
          <t>MFS</t>
        </is>
      </c>
      <c r="C18" t="n">
        <v>11925</v>
      </c>
      <c r="D18" t="n">
        <v>1192.5</v>
      </c>
      <c r="E18" t="n">
        <v>0.12</v>
      </c>
      <c r="F18" t="n">
        <v>15000</v>
      </c>
    </row>
    <row r="19">
      <c r="A19" t="n">
        <v>2025</v>
      </c>
      <c r="B19" t="inlineStr">
        <is>
          <t>MFS</t>
        </is>
      </c>
      <c r="C19" t="n">
        <v>48475</v>
      </c>
      <c r="D19" t="n">
        <v>5578.5</v>
      </c>
      <c r="E19" t="n">
        <v>0.22</v>
      </c>
      <c r="F19" t="n">
        <v>15000</v>
      </c>
    </row>
    <row r="20">
      <c r="A20" t="n">
        <v>2025</v>
      </c>
      <c r="B20" t="inlineStr">
        <is>
          <t>MFS</t>
        </is>
      </c>
      <c r="C20" t="n">
        <v>103350</v>
      </c>
      <c r="D20" t="n">
        <v>17651</v>
      </c>
      <c r="E20" t="n">
        <v>0.24</v>
      </c>
      <c r="F20" t="n">
        <v>15000</v>
      </c>
    </row>
    <row r="21">
      <c r="A21" t="n">
        <v>2025</v>
      </c>
      <c r="B21" t="inlineStr">
        <is>
          <t>MFS</t>
        </is>
      </c>
      <c r="C21" t="n">
        <v>197300</v>
      </c>
      <c r="D21" t="n">
        <v>40199</v>
      </c>
      <c r="E21" t="n">
        <v>0.32</v>
      </c>
      <c r="F21" t="n">
        <v>15000</v>
      </c>
    </row>
    <row r="22">
      <c r="A22" t="n">
        <v>2025</v>
      </c>
      <c r="B22" t="inlineStr">
        <is>
          <t>MFS</t>
        </is>
      </c>
      <c r="C22" t="n">
        <v>250525</v>
      </c>
      <c r="D22" t="n">
        <v>57231</v>
      </c>
      <c r="E22" t="n">
        <v>0.35</v>
      </c>
      <c r="F22" t="n">
        <v>15000</v>
      </c>
    </row>
    <row r="23">
      <c r="A23" t="n">
        <v>2025</v>
      </c>
      <c r="B23" t="inlineStr">
        <is>
          <t>MFS</t>
        </is>
      </c>
      <c r="C23" t="n">
        <v>375800</v>
      </c>
      <c r="D23" t="n">
        <v>101077.25</v>
      </c>
      <c r="E23" t="n">
        <v>0.37</v>
      </c>
      <c r="F23" t="n">
        <v>15000</v>
      </c>
    </row>
    <row r="24">
      <c r="A24" t="n">
        <v>2025</v>
      </c>
      <c r="B24" t="inlineStr">
        <is>
          <t>HoH</t>
        </is>
      </c>
      <c r="C24" t="n">
        <v>0</v>
      </c>
      <c r="D24" t="n">
        <v>0</v>
      </c>
      <c r="E24" t="n">
        <v>0.1</v>
      </c>
      <c r="F24" t="n">
        <v>22500</v>
      </c>
    </row>
    <row r="25">
      <c r="A25" t="n">
        <v>2025</v>
      </c>
      <c r="B25" t="inlineStr">
        <is>
          <t>HoH</t>
        </is>
      </c>
      <c r="C25" t="n">
        <v>17000</v>
      </c>
      <c r="D25" t="n">
        <v>1700</v>
      </c>
      <c r="E25" t="n">
        <v>0.12</v>
      </c>
      <c r="F25" t="n">
        <v>22500</v>
      </c>
    </row>
    <row r="26">
      <c r="A26" t="n">
        <v>2025</v>
      </c>
      <c r="B26" t="inlineStr">
        <is>
          <t>HoH</t>
        </is>
      </c>
      <c r="C26" t="n">
        <v>64850</v>
      </c>
      <c r="D26" t="n">
        <v>7442</v>
      </c>
      <c r="E26" t="n">
        <v>0.22</v>
      </c>
      <c r="F26" t="n">
        <v>22500</v>
      </c>
    </row>
    <row r="27">
      <c r="A27" t="n">
        <v>2025</v>
      </c>
      <c r="B27" t="inlineStr">
        <is>
          <t>HoH</t>
        </is>
      </c>
      <c r="C27" t="n">
        <v>103350</v>
      </c>
      <c r="D27" t="n">
        <v>15912</v>
      </c>
      <c r="E27" t="n">
        <v>0.24</v>
      </c>
      <c r="F27" t="n">
        <v>22500</v>
      </c>
    </row>
    <row r="28">
      <c r="A28" t="n">
        <v>2025</v>
      </c>
      <c r="B28" t="inlineStr">
        <is>
          <t>HoH</t>
        </is>
      </c>
      <c r="C28" t="n">
        <v>197300</v>
      </c>
      <c r="D28" t="n">
        <v>38460</v>
      </c>
      <c r="E28" t="n">
        <v>0.32</v>
      </c>
      <c r="F28" t="n">
        <v>22500</v>
      </c>
    </row>
    <row r="29">
      <c r="A29" t="n">
        <v>2025</v>
      </c>
      <c r="B29" t="inlineStr">
        <is>
          <t>HoH</t>
        </is>
      </c>
      <c r="C29" t="n">
        <v>250500</v>
      </c>
      <c r="D29" t="n">
        <v>55484</v>
      </c>
      <c r="E29" t="n">
        <v>0.35</v>
      </c>
      <c r="F29" t="n">
        <v>22500</v>
      </c>
    </row>
    <row r="30">
      <c r="A30" t="n">
        <v>2025</v>
      </c>
      <c r="B30" t="inlineStr">
        <is>
          <t>HoH</t>
        </is>
      </c>
      <c r="C30" t="n">
        <v>626350</v>
      </c>
      <c r="D30" t="n">
        <v>187031.5</v>
      </c>
      <c r="E30" t="n">
        <v>0.37</v>
      </c>
      <c r="F30" t="n">
        <v>22500</v>
      </c>
    </row>
    <row r="31"/>
    <row r="32">
      <c r="A32" t="inlineStr">
        <is>
          <t>Table B: Federal Capital Gains Brackets</t>
        </is>
      </c>
    </row>
    <row r="33">
      <c r="A33" t="inlineStr">
        <is>
          <t>Year</t>
        </is>
      </c>
      <c r="B33" t="inlineStr">
        <is>
          <t>Status</t>
        </is>
      </c>
      <c r="C33" t="inlineStr">
        <is>
          <t>Bracket Floor</t>
        </is>
      </c>
      <c r="D33" t="inlineStr">
        <is>
          <t>LTCG Rate</t>
        </is>
      </c>
    </row>
    <row r="34">
      <c r="A34" t="n">
        <v>2025</v>
      </c>
      <c r="B34" t="inlineStr">
        <is>
          <t>Single</t>
        </is>
      </c>
      <c r="C34" t="n">
        <v>0</v>
      </c>
      <c r="D34" t="n">
        <v>0</v>
      </c>
    </row>
    <row r="35">
      <c r="A35" t="n">
        <v>2025</v>
      </c>
      <c r="B35" t="inlineStr">
        <is>
          <t>Single</t>
        </is>
      </c>
      <c r="C35" t="n">
        <v>47025</v>
      </c>
      <c r="D35" t="n">
        <v>0.15</v>
      </c>
    </row>
    <row r="36">
      <c r="A36" t="n">
        <v>2025</v>
      </c>
      <c r="B36" t="inlineStr">
        <is>
          <t>Single</t>
        </is>
      </c>
      <c r="C36" t="n">
        <v>518900</v>
      </c>
      <c r="D36" t="n">
        <v>0.2</v>
      </c>
    </row>
    <row r="37">
      <c r="A37" t="n">
        <v>2025</v>
      </c>
      <c r="B37" t="inlineStr">
        <is>
          <t>MFJ</t>
        </is>
      </c>
      <c r="C37" t="n">
        <v>0</v>
      </c>
      <c r="D37" t="n">
        <v>0</v>
      </c>
    </row>
    <row r="38">
      <c r="A38" t="n">
        <v>2025</v>
      </c>
      <c r="B38" t="inlineStr">
        <is>
          <t>MFJ</t>
        </is>
      </c>
      <c r="C38" t="n">
        <v>96700</v>
      </c>
      <c r="D38" t="n">
        <v>0.15</v>
      </c>
    </row>
    <row r="39">
      <c r="A39" t="n">
        <v>2025</v>
      </c>
      <c r="B39" t="inlineStr">
        <is>
          <t>MFJ</t>
        </is>
      </c>
      <c r="C39" t="n">
        <v>600050</v>
      </c>
      <c r="D39" t="n">
        <v>0.2</v>
      </c>
    </row>
    <row r="40">
      <c r="A40" t="n">
        <v>2025</v>
      </c>
      <c r="B40" t="inlineStr">
        <is>
          <t>MFS</t>
        </is>
      </c>
      <c r="C40" t="n">
        <v>0</v>
      </c>
      <c r="D40" t="n">
        <v>0</v>
      </c>
    </row>
    <row r="41">
      <c r="A41" t="n">
        <v>2025</v>
      </c>
      <c r="B41" t="inlineStr">
        <is>
          <t>MFS</t>
        </is>
      </c>
      <c r="C41" t="n">
        <v>48350</v>
      </c>
      <c r="D41" t="n">
        <v>0.15</v>
      </c>
    </row>
    <row r="42">
      <c r="A42" t="n">
        <v>2025</v>
      </c>
      <c r="B42" t="inlineStr">
        <is>
          <t>MFS</t>
        </is>
      </c>
      <c r="C42" t="n">
        <v>300000</v>
      </c>
      <c r="D42" t="n">
        <v>0.2</v>
      </c>
    </row>
    <row r="43">
      <c r="A43" t="n">
        <v>2025</v>
      </c>
      <c r="B43" t="inlineStr">
        <is>
          <t>HoH</t>
        </is>
      </c>
      <c r="C43" t="n">
        <v>0</v>
      </c>
      <c r="D43" t="n">
        <v>0</v>
      </c>
    </row>
    <row r="44">
      <c r="A44" t="n">
        <v>2025</v>
      </c>
      <c r="B44" t="inlineStr">
        <is>
          <t>HoH</t>
        </is>
      </c>
      <c r="C44" t="n">
        <v>64750</v>
      </c>
      <c r="D44" t="n">
        <v>0.15</v>
      </c>
    </row>
    <row r="45">
      <c r="A45" t="n">
        <v>2025</v>
      </c>
      <c r="B45" t="inlineStr">
        <is>
          <t>HoH</t>
        </is>
      </c>
      <c r="C45" t="n">
        <v>566700</v>
      </c>
      <c r="D45" t="n">
        <v>0.2</v>
      </c>
    </row>
    <row r="46"/>
    <row r="47">
      <c r="A47" t="inlineStr">
        <is>
          <t>Table D: Surtaxes &amp; Phaseouts</t>
        </is>
      </c>
    </row>
    <row r="48">
      <c r="A48" t="inlineStr">
        <is>
          <t>Year</t>
        </is>
      </c>
      <c r="B48" t="inlineStr">
        <is>
          <t>Status</t>
        </is>
      </c>
      <c r="C48" t="inlineStr">
        <is>
          <t>NIIT Threshold</t>
        </is>
      </c>
      <c r="D48" t="inlineStr">
        <is>
          <t>Addl Medicare</t>
        </is>
      </c>
      <c r="E48" t="inlineStr">
        <is>
          <t>CTC Phaseout Start</t>
        </is>
      </c>
    </row>
    <row r="49">
      <c r="A49" t="n">
        <v>2025</v>
      </c>
      <c r="B49" t="inlineStr">
        <is>
          <t>Single</t>
        </is>
      </c>
      <c r="C49" t="n">
        <v>200000</v>
      </c>
      <c r="D49" t="n">
        <v>200000</v>
      </c>
      <c r="E49" t="n">
        <v>200000</v>
      </c>
    </row>
    <row r="50">
      <c r="A50" t="n">
        <v>2025</v>
      </c>
      <c r="B50" t="inlineStr">
        <is>
          <t>MFJ</t>
        </is>
      </c>
      <c r="C50" t="n">
        <v>250000</v>
      </c>
      <c r="D50" t="n">
        <v>250000</v>
      </c>
      <c r="E50" t="n">
        <v>400000</v>
      </c>
    </row>
    <row r="51">
      <c r="A51" t="n">
        <v>2025</v>
      </c>
      <c r="B51" t="inlineStr">
        <is>
          <t>MFS</t>
        </is>
      </c>
      <c r="C51" t="n">
        <v>125000</v>
      </c>
      <c r="D51" t="n">
        <v>125000</v>
      </c>
      <c r="E51" t="n">
        <v>200000</v>
      </c>
    </row>
    <row r="52">
      <c r="A52" t="n">
        <v>2025</v>
      </c>
      <c r="B52" t="inlineStr">
        <is>
          <t>HoH</t>
        </is>
      </c>
      <c r="C52" t="n">
        <v>200000</v>
      </c>
      <c r="D52" t="n">
        <v>200000</v>
      </c>
      <c r="E52" t="n">
        <v>200000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28" customWidth="1" min="1" max="1"/>
  </cols>
  <sheetData>
    <row r="1">
      <c r="A1" s="1" t="inlineStr">
        <is>
          <t>PROMPT INSTRUCTIONS</t>
        </is>
      </c>
    </row>
    <row r="2">
      <c r="A2" t="inlineStr">
        <is>
          <t>Copy and paste the text below into an AI (like Gemini, ChatGPT, or Claude) along with your paystubs or brokerage statements to automatically extract the data for this workbook.</t>
        </is>
      </c>
    </row>
    <row r="3">
      <c r="A3" t="inlineStr"/>
    </row>
    <row r="4" ht="600" customHeight="1">
      <c r="A4" s="18" t="inlineStr">
        <is>
          <t># Role &amp; Objective
Your purpose is to parse unstructured text, images, or PDFs of paystubs and brokerage statements provided by the user, and format the extracted data into precise, tab-separated tables. 
These tables are designed to be copied and pasted directly into a master Tax Projection Excel workbook. Do not add any conversational filler, introductory text, or concluding remarks. Output **only** the requested tables unless I ask you a question.
Do not reference any data inside your project directory, if one exists.  Don't store state outside the context window.  You are just a function which translates provided uploaded inputs into outputs.
---
# Formatting Rules
1. **Output Format**: Use a Markdown table format. Ensure that columns align correctly. Do not use comma-separated values (CSV). Use numerical formats without commas or dollar signs (e.g., use `1500.50` instead of `$1,500.50`). 
2. **Missing Values**: If a value is not present on the document, output `0`. Do not leave it blank or use "N/A".
3. **Detection**: Automatically detect whether the provided document is a Paystub or a Brokerage Statement and output the corresponding table. If the user provides both, output both under their respective headers: `### Wage Snapshots` and `### Investment Income Snapshots`.
---
# Schema 1: Wage Snapshots (Paystubs)
If the document is a paystub, RSU release confirmation, or W-2 income event, extract the data into the following columns exactly as defined:
| Date | Gross W-2 Income | Pre-tax Deductions | HSA Contributions | Fed Tax Withheld | CA Tax Withheld | FICA/Med/SDI |
|---|---|---|---|---|---|---|
**Extraction Logic for Wage Snapshots:**
*   **Date**: The date of the paystub or vest event (Format: MM/DD/YYYY).
*   **Gross W-2 Income**: The **Year-to-Date (YTD)** gross pay, combining base salary, bonus payout, and/or the total taxable value of RSU vests up to this date.
*   **Pre-tax Deductions**: The sum of all **YTD** pre-tax deductions (e.g., Traditional 401k, FSA, Health/Dental/Vision premiums). **CRITICAL IMPERATIVE**: Do **not** include HSA contributions in this sum.
*   **HSA Contributions**: The **YTD** pre-tax HSA contribution amount. (This must be isolated because California does not recognize HSA deductions).
*   **Fed Tax Withheld**: The **YTD** Federal Income Tax withheld.
*   **CA Tax Withheld**: The **YTD** California State Income Tax withheld.
*   **FICA/Med/SDI**: The sum of **YTD** Social Security (OASDI), Medicare, and CA State Disability Insurance (CA SDI) withheld.
---
# Schema 2: Investment Income Snapshots (Brokerage Statements)
If the document is a 1099-DIV, 1099-B, or a quarterly consolidated brokerage statement, extract the data into the following columns exactly as defined:
| Quarter | Entity | Dividends &amp; Interest | Short-Term Gains | Long-Term Gains |
|---|---|---|---|---|
**Extraction Logic for Investment Income Snapshots:**
*   **Quarter**: The most recent quarter the statement covers (e.g., `Q1`, `Q2`, `Q3`, `Q4`, or `Annual`). 
*   **Entity**: The name of the brokerage or issuing institution (e.g., `Schwab`, `E-Trade`, `Fidelity`).
*   **Dividends &amp; Interest**: **Year-to-Date (YTD)** total of all dividends (Qualified + Ordinary) and all taxable interest. Combine these into a single sum.
*   **Short-Term Gains**: **Year-to-Date (YTD)** net short-term capital gains realized.
*   **Long-Term Gains**: **Year-to-Date (YTD)** net long-term capital gains realized.
THESE NUMBERS ARE VERY IMPORTANT.  CHECK YOUR WORK TWICE.  DO NOT HALLUCINATE
DO NOT REFERENCE INPUT DATA OUTSIDE OF YOUR THREAD CONTEXT WINDOW.  TREAT YOURSELF AS A FUNCTION WHICH TRANSLATES UPLOADED INPUTS INTO OUTPUTS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2026-04-11T20:41:59Z</dcterms:created>
  <dcterms:modified xsi:type="dcterms:W3CDTF">2026-04-11T20:41:59Z</dcterms:modified>
</cp:coreProperties>
</file>