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t>
      </text>
    </comment>
    <comment ref="I1" authorId="0" shapeId="0">
      <text>
        <t>PAYMENT ACTION CENTER: High-level status board for current obligations.</t>
      </text>
    </comment>
    <comment ref="F2" authorId="0" shapeId="0">
      <text>
        <t>ENTER PAYMENTS HERE. Required for DUE NOW calculations.</t>
      </text>
    </comment>
    <comment ref="B4" authorId="0" shapeId="0">
      <text>
        <t>Enter total tax from last year's Federal Form 1040.</t>
      </text>
    </comment>
    <comment ref="B5" authorId="0" shapeId="0">
      <text>
        <t>Enter total tax from last year's California Form 540.</t>
      </text>
    </comment>
    <comment ref="B9" authorId="0" shapeId="0">
      <text>
        <t>The baseline date used for deadlines and current quarter inference.</t>
      </text>
    </comment>
    <comment ref="B10" authorId="0" shapeId="0">
      <text>
        <t>Automatically calculated based on the Status Date using a 30-day buffer. This drives your Interest/Dividend projections.</t>
      </text>
    </comment>
    <comment ref="B13" authorId="0" shapeId="0">
      <text>
        <t>Manual Offset for one-off bonuses/non-recurring income.</t>
      </text>
    </comment>
    <comment ref="B14" authorId="0" shapeId="0">
      <text>
        <t>1.0 = normal earnings weight for projected future income.</t>
      </text>
    </comment>
    <comment ref="I15" authorId="0" shapeId="0">
      <text>
        <t>TAX DIAGNOSTICS: Real-time health check on rates and logic.</t>
      </text>
    </comment>
    <comment ref="B17" authorId="0" shapeId="0">
      <text>
        <t>Projects Dividends/Interest for the remainder of the year based on the Inferred Quarter (B10).</t>
      </text>
    </comment>
    <comment ref="I24" authorId="0" shapeId="0">
      <text>
        <t>Displays the quarter the logic is currently assuming for projections (1=Apr, 2=Jul, 3=Oct, 4=Jan NEXT YEAR).</t>
      </text>
    </comment>
    <comment ref="I28" authorId="0" shapeId="0">
      <text>
        <t>HSA Verification: Checks addition back to CA income.</t>
      </text>
    </comment>
    <comment ref="I29" authorId="0" shapeId="0">
      <text>
        <t>Warns if Federal brackets are from a prior logic year.</t>
      </text>
    </comment>
  </commentList>
</comments>
</file>

<file path=xl/comments/comment2.xml><?xml version="1.0" encoding="utf-8"?>
<comments xmlns="http://schemas.openxmlformats.org/spreadsheetml/2006/main">
  <authors>
    <author>Ross Wait</author>
  </authors>
  <commentList>
    <comment ref="A1" authorId="0" shapeId="0">
      <text>
        <t>YTD paystub data.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is>
          <t>Step 1: Enter your latest YTD paystub details in the 'Wage Snapshots' tab.</t>
        </is>
      </c>
    </row>
    <row r="3">
      <c r="A3" t="inlineStr">
        <is>
          <t>Step 2: Enter your latest YTD brokerage totals in 'Investment Income Snapshots'.</t>
        </is>
      </c>
    </row>
    <row r="4">
      <c r="A4" t="inlineStr">
        <is>
          <t>Step 3: (Optional) Enter your 'Prior Year Tax' liability in the Dashboard to enable Safe Harbor targets.</t>
        </is>
      </c>
    </row>
    <row r="5">
      <c r="A5" t="inlineStr">
        <is>
          <t>Step 4: (Optional) Enter your estimated 'Itemized Deductions' if you expect to exceed the Standard Deduction.</t>
        </is>
      </c>
    </row>
    <row r="6">
      <c r="A6" t="inlineStr">
        <is>
          <t>Step 5: Check the 'PAYMENT ACTION CENTER' on the Dashboard for immediate payment requirements.</t>
        </is>
      </c>
    </row>
    <row r="7">
      <c r="A7" t="inlineStr"/>
    </row>
    <row r="8">
      <c r="A8" s="1" t="inlineStr">
        <is>
          <t>Important Notes</t>
        </is>
      </c>
    </row>
    <row r="9">
      <c r="A9" t="inlineStr">
        <is>
          <t>1. Investment Income: Dividends and Interest are automatically projected for the full year based on the current quarter. Capital Gains (Short/Long term) are treated as one-off events and are NOT projected.</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C58, B9&lt;=DATE(B8,6,15), C59, B9&lt;=DATE(B8,9,15), C60, TRUE, C61)</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B58, B9&lt;=DATE(B8,6,15), B59, B9&lt;=DATE(B8,9,15), B60, TRUE, B61)</f>
        <v/>
      </c>
    </row>
    <row r="5">
      <c r="A5" s="2" t="inlineStr">
        <is>
          <t>Prior Year CA Tax (Safe Harbor)</t>
        </is>
      </c>
      <c r="B5" s="11" t="n">
        <v>0</v>
      </c>
      <c r="D5" s="6">
        <f>DATE(B8,6,15)</f>
        <v/>
      </c>
      <c r="E5" s="7" t="n"/>
      <c r="F5" s="7" t="n"/>
      <c r="G5" s="8" t="inlineStr">
        <is>
          <t>Fed Q2</t>
        </is>
      </c>
      <c r="I5" s="9" t="inlineStr">
        <is>
          <t>FED Payments YTD:</t>
        </is>
      </c>
      <c r="J5" s="12">
        <f>B52</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C65, B9&lt;=DATE(B8,6,15), C66, B9&lt;=DATE(B8,9,15), C67, TRUE, C68)</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inlineStr">
        <is>
          <t>Inferred Estimated Tax Quarter</t>
        </is>
      </c>
      <c r="B10" s="13">
        <f>MIN(4, MAX(1, ROUNDUP((MONTH(B9)-1)/3, 0)))</f>
        <v/>
      </c>
      <c r="D10" s="6">
        <f>DATE(B8+1,1,15)</f>
        <v/>
      </c>
      <c r="E10" s="7" t="n"/>
      <c r="F10" s="7" t="n"/>
      <c r="G10" s="8" t="inlineStr">
        <is>
          <t>CA Q4</t>
        </is>
      </c>
      <c r="I10" s="9" t="inlineStr">
        <is>
          <t>Next CA Target:</t>
        </is>
      </c>
      <c r="J10" s="12">
        <f>IFS(B9&lt;=DATE(B8,4,15), B65, B9&lt;=DATE(B8,6,15), B66, B9&lt;=DATE(B8,9,15), B67, TRUE, B68)</f>
        <v/>
      </c>
    </row>
    <row r="11">
      <c r="A11" s="2" t="n"/>
      <c r="B11" s="15" t="n"/>
      <c r="D11" s="2" t="n"/>
      <c r="I11" s="9" t="inlineStr">
        <is>
          <t>CA Payments YTD:</t>
        </is>
      </c>
      <c r="J11" s="12">
        <f>B54</f>
        <v/>
      </c>
    </row>
    <row r="12">
      <c r="A12" s="1" t="inlineStr">
        <is>
          <t>Projection &amp; Assumptions</t>
        </is>
      </c>
      <c r="B12" s="15" t="n"/>
      <c r="D12" s="2" t="n"/>
      <c r="I12" s="9" t="inlineStr">
        <is>
          <t>CA Status:</t>
        </is>
      </c>
      <c r="J12" s="10">
        <f>IF(J11&gt;=J10, "✅ Met (Surplus: " &amp; TEXT(J11-J10, "$#,##0") &amp; ")", "🔴 Shortfall (" &amp; TEXT(J10-J11, "$#,##0") &amp; ")")</f>
        <v/>
      </c>
    </row>
    <row r="13">
      <c r="A13" s="2" t="inlineStr">
        <is>
          <t>Manual Income Offset ($)</t>
        </is>
      </c>
      <c r="B13" s="11" t="n">
        <v>0</v>
      </c>
      <c r="D13" s="2" t="n"/>
      <c r="I13" s="9" t="n"/>
      <c r="J13" s="10" t="n"/>
    </row>
    <row r="14">
      <c r="A14" s="2" t="inlineStr">
        <is>
          <t>Future Income Weight (%)</t>
        </is>
      </c>
      <c r="B14" s="16" t="n">
        <v>1</v>
      </c>
      <c r="D14" s="2" t="n"/>
      <c r="I14" s="2" t="n"/>
    </row>
    <row r="15">
      <c r="A15" s="2" t="inlineStr">
        <is>
          <t>Remaining Year Wage Income</t>
        </is>
      </c>
      <c r="B15" s="15">
        <f>IF(MAX('Wage Snapshots'!A:A)=0, 0, (SUM('Wage Snapshots'!B:B) / MAX(1, MAX('Wage Snapshots'!A:A) - DATE(B8,1,1))) * (DATE(B8,12,31) - MAX('Wage Snapshots'!A:A)))</f>
        <v/>
      </c>
      <c r="D15" s="2" t="n"/>
      <c r="I15" s="1" t="inlineStr">
        <is>
          <t>TAX DIAGNOSTICS</t>
        </is>
      </c>
    </row>
    <row r="16">
      <c r="A16" s="2" t="inlineStr">
        <is>
          <t>Remaining Year Deductions</t>
        </is>
      </c>
      <c r="B16" s="15">
        <f>IF(MAX('Wage Snapshots'!A:A)=0, 0, (SUM('Wage Snapshots'!C:D) / MAX(1, MAX('Wage Snapshots'!A:A) - DATE(B8,1,1))) * (DATE(B8,12,31) - MAX('Wage Snapshots'!A:A)))</f>
        <v/>
      </c>
      <c r="D16" s="2" t="n"/>
      <c r="I16" s="2" t="inlineStr">
        <is>
          <t>Fed Target Method:</t>
        </is>
      </c>
      <c r="J16">
        <f>IF(B4=0, "90% Forecast", IF(B48*0.9 &lt; B4*1.1, "90% Forecast", "110% Safe Harbor"))</f>
        <v/>
      </c>
    </row>
    <row r="17">
      <c r="A17" s="2" t="inlineStr">
        <is>
          <t>Remaining Year Interest and Dividends</t>
        </is>
      </c>
      <c r="B17" s="15">
        <f>SUM('Investment Income Snapshots'!C:C) * ( (4 / B10) - 1 )</f>
        <v/>
      </c>
      <c r="D17" s="2" t="n"/>
      <c r="I17" s="2" t="inlineStr">
        <is>
          <t>CA Target Method:</t>
        </is>
      </c>
      <c r="J17">
        <f>IF(B5=0, "80% Forecast", IF(B39*0.8 &lt; B5*1.1, "80% Forecast", "110% Safe Harbor"))</f>
        <v/>
      </c>
    </row>
    <row r="18">
      <c r="A18" s="2" t="n"/>
      <c r="B18" s="15" t="n"/>
      <c r="D18" s="2" t="n"/>
      <c r="I18" s="2" t="inlineStr">
        <is>
          <t>Effective Fed Rate:</t>
        </is>
      </c>
      <c r="J18" s="17">
        <f>B48 / MAX(1, B25)</f>
        <v/>
      </c>
    </row>
    <row r="19">
      <c r="A19" s="1" t="inlineStr">
        <is>
          <t>Consolidated Income Projection</t>
        </is>
      </c>
      <c r="B19" s="15" t="n"/>
      <c r="D19" s="2" t="n"/>
      <c r="I19" s="2" t="inlineStr">
        <is>
          <t>Effective CA Rate:</t>
        </is>
      </c>
      <c r="J19" s="17">
        <f>B39 / MAX(1, B25)</f>
        <v/>
      </c>
    </row>
    <row r="20">
      <c r="A20" s="2" t="inlineStr">
        <is>
          <t>Total Projected Wage Income</t>
        </is>
      </c>
      <c r="B20" s="15">
        <f>SUM('Wage Snapshots'!B:B) + (B15 * B14) + B13</f>
        <v/>
      </c>
      <c r="D20" s="2" t="n"/>
      <c r="I20" s="2" t="inlineStr">
        <is>
          <t>Marginal Fed Bracket:</t>
        </is>
      </c>
      <c r="J20" s="17">
        <f>XLOOKUP(B30, FILTER('Tax Constants'!C3:C30, 'Tax Constants'!B3:B30=B2), FILTER('Tax Constants'!E3:E30, 'Tax Constants'!B3:B30=B2), 0, -1)</f>
        <v/>
      </c>
    </row>
    <row r="21">
      <c r="A21" s="2" t="inlineStr">
        <is>
          <t>Federal W-2 State Wages</t>
        </is>
      </c>
      <c r="B21" s="15">
        <f>B20 - SUM('Wage Snapshots'!C:D) - (B16 * B14)</f>
        <v/>
      </c>
      <c r="D21" s="2" t="n"/>
      <c r="I21" s="2" t="inlineStr">
        <is>
          <t>Marginal CA Bracket:</t>
        </is>
      </c>
      <c r="J21" s="17">
        <f>XLOOKUP(B36, FILTER('Tax Constants'!C49:C84, 'Tax Constants'!B49:B84=B2), FILTER('Tax Constants'!E49:E84, 'Tax Constants'!B49:B84=B2), 0, -1)</f>
        <v/>
      </c>
    </row>
    <row r="22">
      <c r="A22" s="2" t="inlineStr">
        <is>
          <t>CA W-2 State Wages</t>
        </is>
      </c>
      <c r="B22" s="15">
        <f>B20 - SUM('Wage Snapshots'!C:C) - (SUM('Wage Snapshots'!C:C)/MAX(1, SUM('Wage Snapshots'!C:D))) * B16 * B14</f>
        <v/>
      </c>
      <c r="D22" s="2" t="n"/>
      <c r="I22" s="2" t="inlineStr">
        <is>
          <t>Deduction Applied:</t>
        </is>
      </c>
      <c r="J22">
        <f>IF(B6&gt;XLOOKUP(B2, 'Tax Constants'!B3:B30, 'Tax Constants'!F3:F30, 0), "ITEMIZED", "STANDARD")</f>
        <v/>
      </c>
    </row>
    <row r="23">
      <c r="A23" s="2" t="inlineStr">
        <is>
          <t>Investment Ordinary (Div/Int + STG)</t>
        </is>
      </c>
      <c r="B23" s="15">
        <f>SUM('Investment Income Snapshots'!C:C) + B17 + SUM('Investment Income Snapshots'!D:D)</f>
        <v/>
      </c>
      <c r="D23" s="2" t="n"/>
      <c r="I23" s="2" t="inlineStr">
        <is>
          <t>Bracket Year:</t>
        </is>
      </c>
      <c r="J23" s="13" t="n">
        <v>2025</v>
      </c>
    </row>
    <row r="24">
      <c r="A24" s="2" t="inlineStr">
        <is>
          <t>Investment Preferential (LTG Only)</t>
        </is>
      </c>
      <c r="B24" s="15">
        <f>SUM('Investment Income Snapshots'!E:E)</f>
        <v/>
      </c>
      <c r="D24" s="2" t="n"/>
      <c r="I24" s="2" t="inlineStr">
        <is>
          <t>Inferred Quarter:</t>
        </is>
      </c>
      <c r="J24" s="13">
        <f>B10</f>
        <v/>
      </c>
    </row>
    <row r="25">
      <c r="A25" s="2" t="inlineStr">
        <is>
          <t>Total Projected Federal AGI</t>
        </is>
      </c>
      <c r="B25" s="15">
        <f>B21 + B23 + B24</f>
        <v/>
      </c>
      <c r="D25" s="2" t="n"/>
      <c r="I25" s="2" t="n"/>
    </row>
    <row r="26">
      <c r="A26" s="2" t="inlineStr">
        <is>
          <t>Total Projected CA AGI</t>
        </is>
      </c>
      <c r="B26" s="15">
        <f>B22 + B23 + B24</f>
        <v/>
      </c>
      <c r="D26" s="2" t="n"/>
      <c r="I26" s="1" t="inlineStr">
        <is>
          <t>ACTIVE WARNINGS</t>
        </is>
      </c>
    </row>
    <row r="27">
      <c r="A27" s="2" t="n"/>
      <c r="B27" s="15" t="n"/>
      <c r="D27" s="2" t="n"/>
      <c r="I27" s="2" t="inlineStr">
        <is>
          <t>Stale Snapshots:</t>
        </is>
      </c>
      <c r="J27">
        <f>IF(OR(MAX('Wage Snapshots'!A:A)=0, (B9 - MAX('Wage Snapshots'!A:A)) &gt; 30), "🔴 !!! 30+ DAYS OLD !!!", "OK")</f>
        <v/>
      </c>
    </row>
    <row r="28">
      <c r="A28" s="1" t="inlineStr">
        <is>
          <t>Federal Tax Calculation</t>
        </is>
      </c>
      <c r="B28" s="15" t="n"/>
      <c r="D28" s="2" t="n"/>
      <c r="I28" s="2" t="inlineStr">
        <is>
          <t>Prior Year Data:</t>
        </is>
      </c>
      <c r="J28">
        <f>IF(B4=0, "🔴 WARNING: FED MISSING", "OK")</f>
        <v/>
      </c>
    </row>
    <row r="29">
      <c r="A29" s="2" t="inlineStr">
        <is>
          <t>Deduction Applied (Max Std/Item)</t>
        </is>
      </c>
      <c r="B29" s="15">
        <f>MAX(XLOOKUP(B2, 'Tax Constants'!B3:B30, 'Tax Constants'!F3:F30, 0), B6)</f>
        <v/>
      </c>
      <c r="D29" s="2" t="n"/>
      <c r="I29" s="2" t="inlineStr">
        <is>
          <t>HSA Verification (CA):</t>
        </is>
      </c>
      <c r="J29">
        <f>IF(SUM('Wage Snapshots'!D:D)=0, "✅ No HSA Detected", IF(B22=B21, "🔴 ERR: HSA NOT ADDED TO CA", "✅ HSA Corrected (CA)"))</f>
        <v/>
      </c>
    </row>
    <row r="30">
      <c r="A30" s="2" t="inlineStr">
        <is>
          <t>Ordinary Taxable Income</t>
        </is>
      </c>
      <c r="B30" s="15">
        <f>MAX(0, B25 - B29 - B24)</f>
        <v/>
      </c>
      <c r="D30" s="2" t="n"/>
      <c r="I30" s="2" t="inlineStr">
        <is>
          <t>Fed Brackets Stale:</t>
        </is>
      </c>
      <c r="J30">
        <f>IF(B8 &gt; J23, "⚠️ FED STALE: "&amp;B8&amp;" brackets missing, using 2025 instead", "OK")</f>
        <v/>
      </c>
    </row>
    <row r="31">
      <c r="A31" s="2" t="inlineStr">
        <is>
          <t>Ordinary Income Tax</t>
        </is>
      </c>
      <c r="B31" s="15">
        <f>XLOOKUP(B30, FILTER('Tax Constants'!C3:C30, 'Tax Constants'!B3:B30=B2), FILTER('Tax Constants'!D3:D30, 'Tax Constants'!B3:B30=B2), 0, -1) + (B30 - XLOOKUP(B30, FILTER('Tax Constants'!C3:C30, 'Tax Constants'!B3:B30=B2), FILTER('Tax Constants'!C3:C30, 'Tax Constants'!B3:B30=B2), 0, -1)) * XLOOKUP(B30, FILTER('Tax Constants'!C3:C30, 'Tax Constants'!B3:B30=B2), FILTER('Tax Constants'!E3:E30, 'Tax Constants'!B3:B30=B2), 0, -1)</f>
        <v/>
      </c>
      <c r="D31" s="2" t="n"/>
      <c r="I31" s="2" t="inlineStr">
        <is>
          <t>CA Brackets Stale:</t>
        </is>
      </c>
      <c r="J31">
        <f>IF(B8 &gt; J23, "⚠️ CA STALE: "&amp;B8&amp;" brackets missing, using 2025 instead", "OK")</f>
        <v/>
      </c>
    </row>
    <row r="32">
      <c r="A32" s="2" t="inlineStr">
        <is>
          <t>Capital Gains Tax</t>
        </is>
      </c>
      <c r="B32" s="15">
        <f>IF(B24&gt;0, B24 * XLOOKUP(B30+B24, FILTER('Tax Constants'!C34:C45, 'Tax Constants'!B34:B45=B2), FILTER('Tax Constants'!D34:D45, 'Tax Constants'!B34:B45=B2), 0, -1), 0)</f>
        <v/>
      </c>
      <c r="D32" s="2" t="n"/>
      <c r="I32" s="2" t="n"/>
    </row>
    <row r="33">
      <c r="A33" s="2" t="n"/>
      <c r="B33" s="15" t="n"/>
      <c r="D33" s="2" t="n"/>
      <c r="I33" s="2" t="n"/>
    </row>
    <row r="34">
      <c r="A34" s="1" t="inlineStr">
        <is>
          <t>CA Tax Calculation</t>
        </is>
      </c>
      <c r="B34" s="15" t="n"/>
      <c r="D34" s="2" t="n"/>
      <c r="I34" s="2" t="n"/>
    </row>
    <row r="35">
      <c r="A35" s="2" t="inlineStr">
        <is>
          <t>CA Deduction Applied</t>
        </is>
      </c>
      <c r="B35" s="15">
        <f>MAX(XLOOKUP(B2, 'Tax Constants'!B49:B84, 'Tax Constants'!F49:F84, 0), B7)</f>
        <v/>
      </c>
      <c r="D35" s="2" t="n"/>
      <c r="I35" s="2" t="n"/>
    </row>
    <row r="36">
      <c r="A36" s="2" t="inlineStr">
        <is>
          <t>CA Taxable Income</t>
        </is>
      </c>
      <c r="B36" s="15">
        <f>MAX(0, B26 - B35)</f>
        <v/>
      </c>
      <c r="D36" s="2" t="n"/>
      <c r="I36" s="2" t="n"/>
    </row>
    <row r="37">
      <c r="A37" s="2" t="inlineStr">
        <is>
          <t>CA Regular Tax</t>
        </is>
      </c>
      <c r="B37" s="15">
        <f>XLOOKUP(B36, FILTER('Tax Constants'!C49:C84, 'Tax Constants'!B49:B84=B2), FILTER('Tax Constants'!D49:D84, 'Tax Constants'!B49:B84=B2), 0, -1) + (B36 - XLOOKUP(B36, FILTER('Tax Constants'!C49:C84, 'Tax Constants'!B49:B84=B2), FILTER('Tax Constants'!C49:C84, 'Tax Constants'!B49:B84=B2), 0, -1)) * XLOOKUP(B36, FILTER('Tax Constants'!C49:C84, 'Tax Constants'!B49:B84=B2), FILTER('Tax Constants'!E49:E84, 'Tax Constants'!B49:B84=B2), 0, -1)</f>
        <v/>
      </c>
      <c r="D37" s="2" t="n"/>
      <c r="I37" s="2" t="n"/>
    </row>
    <row r="38">
      <c r="A38" s="2" t="inlineStr">
        <is>
          <t>CA MH Surcharge (1%)</t>
        </is>
      </c>
      <c r="B38" s="15">
        <f>IF(B36 &gt; 1000000, (B36 - 1000000) * 0.01, 0)</f>
        <v/>
      </c>
      <c r="D38" s="2" t="n"/>
      <c r="I38" s="2" t="n"/>
    </row>
    <row r="39">
      <c r="A39" s="2" t="inlineStr">
        <is>
          <t>Total CA Liability</t>
        </is>
      </c>
      <c r="B39" s="15">
        <f>B37 + B38</f>
        <v/>
      </c>
      <c r="D39" s="2" t="n"/>
      <c r="I39" s="2" t="n"/>
    </row>
    <row r="40">
      <c r="A40" s="2" t="n"/>
      <c r="B40" s="15" t="n"/>
      <c r="D40" s="2" t="n"/>
      <c r="I40" s="2" t="n"/>
    </row>
    <row r="41">
      <c r="A41" s="2" t="inlineStr">
        <is>
          <t>Final Liability &amp; Surtaxes</t>
        </is>
      </c>
      <c r="B41" s="15" t="n"/>
      <c r="D41" s="2" t="n"/>
      <c r="I41" s="2" t="n"/>
    </row>
    <row r="42">
      <c r="A42" s="2" t="inlineStr">
        <is>
          <t>NIIT Threshold</t>
        </is>
      </c>
      <c r="B42" s="15">
        <f>XLOOKUP(B2, 'Tax Constants'!B88:B91, 'Tax Constants'!C88:C91, 200000)</f>
        <v/>
      </c>
      <c r="D42" s="2" t="n"/>
      <c r="I42" s="2" t="n"/>
    </row>
    <row r="43">
      <c r="A43" s="2" t="inlineStr">
        <is>
          <t>NIIT (Fed)</t>
        </is>
      </c>
      <c r="B43" s="15">
        <f>IF(B25 &gt; B42, 0.038 * MIN(B25-B42, B23+B24), 0)</f>
        <v/>
      </c>
      <c r="D43" s="2" t="n"/>
      <c r="I43" s="2" t="n"/>
    </row>
    <row r="44">
      <c r="A44" s="2" t="inlineStr">
        <is>
          <t>Addl Medicare Threshold</t>
        </is>
      </c>
      <c r="B44" s="15">
        <f>XLOOKUP(B2, 'Tax Constants'!B88:B91, 'Tax Constants'!D88:D91, 200000)</f>
        <v/>
      </c>
      <c r="D44" s="2" t="n"/>
      <c r="I44" s="2" t="n"/>
    </row>
    <row r="45">
      <c r="A45" s="2" t="inlineStr">
        <is>
          <t>Addl Medicare (Fed)</t>
        </is>
      </c>
      <c r="B45" s="15">
        <f>IF(B20 &gt; B44, 0.009 * (B20-B44), 0)</f>
        <v/>
      </c>
      <c r="D45" s="2" t="n"/>
      <c r="I45" s="2" t="n"/>
    </row>
    <row r="46">
      <c r="A46" s="2" t="inlineStr">
        <is>
          <t>CTC Phaseout Start</t>
        </is>
      </c>
      <c r="B46" s="15">
        <f>XLOOKUP(B2, 'Tax Constants'!B88:B91, 'Tax Constants'!E88:E91, 200000)</f>
        <v/>
      </c>
      <c r="D46" s="2" t="n"/>
      <c r="I46" s="2" t="n"/>
    </row>
    <row r="47">
      <c r="A47" s="2" t="inlineStr">
        <is>
          <t>Child Tax Credit</t>
        </is>
      </c>
      <c r="B47" s="15">
        <f>IF(B25 &gt; B46, MAX(0, (B3*2000)-((B25-B46)/1000)*50), B3*2000)</f>
        <v/>
      </c>
      <c r="D47" s="2" t="n"/>
      <c r="I47" s="2" t="n"/>
    </row>
    <row r="48">
      <c r="A48" s="2" t="inlineStr">
        <is>
          <t>Total Federal Liability</t>
        </is>
      </c>
      <c r="B48" s="15">
        <f>B31 + B32 + B43 + B45 - B47</f>
        <v/>
      </c>
      <c r="D48" s="2" t="n"/>
      <c r="I48" s="2" t="n"/>
    </row>
    <row r="49">
      <c r="A49" s="2" t="n"/>
      <c r="B49" s="15" t="n"/>
      <c r="D49" s="2" t="n"/>
      <c r="I49" s="2" t="n"/>
    </row>
    <row r="50">
      <c r="A50" s="1" t="inlineStr">
        <is>
          <t>Payment Requirements</t>
        </is>
      </c>
      <c r="B50" s="15" t="n"/>
      <c r="D50" s="2" t="n"/>
      <c r="I50" s="2" t="n"/>
    </row>
    <row r="51">
      <c r="A51" s="2" t="inlineStr">
        <is>
          <t>Fed Target</t>
        </is>
      </c>
      <c r="B51" s="15">
        <f>IF(B4=0, B48 * 0.9, MIN(B48 * 0.9, B4 * 1.1))</f>
        <v/>
      </c>
      <c r="D51" s="2" t="n"/>
      <c r="I51" s="2" t="n"/>
    </row>
    <row r="52">
      <c r="A52" s="2" t="inlineStr">
        <is>
          <t>Total Fed Payments YTD</t>
        </is>
      </c>
      <c r="B52" s="15">
        <f>SUM('Wage Snapshots'!E:E) + SUMIFS(F3:F10, G3:G10, "Fed*")</f>
        <v/>
      </c>
      <c r="D52" s="2" t="n"/>
      <c r="I52" s="2" t="n"/>
    </row>
    <row r="53">
      <c r="A53" s="2" t="inlineStr">
        <is>
          <t>CA Target</t>
        </is>
      </c>
      <c r="B53" s="15">
        <f>IF(B5=0, B39 * 0.8, MIN(B39 * 0.8, B5 * 1.1))</f>
        <v/>
      </c>
      <c r="D53" s="2" t="n"/>
      <c r="I53" s="2" t="n"/>
    </row>
    <row r="54">
      <c r="A54" s="2" t="inlineStr">
        <is>
          <t>Total CA Payments YTD</t>
        </is>
      </c>
      <c r="B54" s="15">
        <f>SUM('Wage Snapshots'!F:F) + SUMIFS(F3:F10, G3:G10, "CA*")</f>
        <v/>
      </c>
      <c r="D54" s="2" t="n"/>
      <c r="I54" s="2" t="n"/>
    </row>
    <row r="55">
      <c r="A55" s="2" t="n"/>
      <c r="D55" s="2" t="n"/>
      <c r="I55" s="2" t="n"/>
    </row>
    <row r="56">
      <c r="A56" s="2" t="n"/>
      <c r="D56" s="2" t="n"/>
      <c r="I56" s="2" t="n"/>
    </row>
    <row r="57">
      <c r="A57" s="1" t="inlineStr">
        <is>
          <t>FEDERAL PAYMENT SCHEDULE</t>
        </is>
      </c>
      <c r="D57" s="2" t="n"/>
      <c r="I57" s="2" t="n"/>
    </row>
    <row r="58">
      <c r="A58" s="2" t="inlineStr">
        <is>
          <t>Q1 (Apr 15)</t>
        </is>
      </c>
      <c r="B58" s="15">
        <f>B51 * 0.25</f>
        <v/>
      </c>
      <c r="C58" s="15">
        <f>MAX(0, B58 - B52)</f>
        <v/>
      </c>
      <c r="D58" s="2" t="n"/>
      <c r="I58" s="2" t="n"/>
    </row>
    <row r="59">
      <c r="A59" s="2" t="inlineStr">
        <is>
          <t>Q2 (Jun 15)</t>
        </is>
      </c>
      <c r="B59" s="15">
        <f>B51 * 0.5</f>
        <v/>
      </c>
      <c r="C59" s="15">
        <f>MAX(0, B59 - B52)</f>
        <v/>
      </c>
      <c r="D59" s="2" t="n"/>
      <c r="I59" s="2" t="n"/>
    </row>
    <row r="60">
      <c r="A60" s="2" t="inlineStr">
        <is>
          <t>Q3 (Sep 15)</t>
        </is>
      </c>
      <c r="B60" s="15">
        <f>B51 * 0.75</f>
        <v/>
      </c>
      <c r="C60" s="15">
        <f>MAX(0, B60 - B52)</f>
        <v/>
      </c>
      <c r="D60" s="2" t="n"/>
      <c r="I60" s="2" t="n"/>
    </row>
    <row r="61">
      <c r="A61" s="2" t="inlineStr">
        <is>
          <t>Q4 (Jan 15)</t>
        </is>
      </c>
      <c r="B61" s="15">
        <f>B51 * 1.0</f>
        <v/>
      </c>
      <c r="C61" s="15">
        <f>MAX(0, B61 - B52)</f>
        <v/>
      </c>
      <c r="D61" s="2" t="n"/>
      <c r="I61" s="2" t="n"/>
    </row>
    <row r="62">
      <c r="A62" s="2" t="n"/>
      <c r="B62" s="15" t="n"/>
      <c r="C62" s="15" t="n"/>
      <c r="D62" s="2" t="n"/>
      <c r="I62" s="2" t="n"/>
    </row>
    <row r="63">
      <c r="A63" s="2" t="n"/>
      <c r="B63" s="15" t="n"/>
      <c r="C63" s="15" t="n"/>
      <c r="D63" s="2" t="n"/>
      <c r="I63" s="2" t="n"/>
    </row>
    <row r="64">
      <c r="A64" s="1" t="inlineStr">
        <is>
          <t>STATE PAYMENT SCHEDULE</t>
        </is>
      </c>
      <c r="B64" s="15" t="n"/>
      <c r="C64" s="15" t="n"/>
      <c r="D64" s="2" t="n"/>
      <c r="I64" s="2" t="n"/>
    </row>
    <row r="65">
      <c r="A65" s="2" t="inlineStr">
        <is>
          <t>Q1 (Apr 15)</t>
        </is>
      </c>
      <c r="B65" s="15">
        <f>B53 * 0.3</f>
        <v/>
      </c>
      <c r="C65" s="15">
        <f>MAX(0, B65 - B54)</f>
        <v/>
      </c>
      <c r="D65" s="2" t="n"/>
      <c r="I65" s="2" t="n"/>
    </row>
    <row r="66">
      <c r="A66" s="2" t="inlineStr">
        <is>
          <t>Q2 (Jun 15)</t>
        </is>
      </c>
      <c r="B66" s="15">
        <f>B53 * 0.7</f>
        <v/>
      </c>
      <c r="C66" s="15">
        <f>MAX(0, B66 - B54)</f>
        <v/>
      </c>
      <c r="D66" s="2" t="n"/>
      <c r="I66" s="2" t="n"/>
    </row>
    <row r="67">
      <c r="A67" s="2" t="inlineStr">
        <is>
          <t>Q3 (Sep 15)</t>
        </is>
      </c>
      <c r="B67" s="15">
        <f>B53 * 0.7</f>
        <v/>
      </c>
      <c r="C67" s="15">
        <f>MAX(0, B67 - B54)</f>
        <v/>
      </c>
      <c r="D67" s="2" t="n"/>
      <c r="I67" s="2" t="n"/>
    </row>
    <row r="68">
      <c r="A68" s="2" t="inlineStr">
        <is>
          <t>Q4 (Jan 15)</t>
        </is>
      </c>
      <c r="B68" s="15">
        <f>B53 * 1.0</f>
        <v/>
      </c>
      <c r="C68" s="15">
        <f>MAX(0, B68 - B54)</f>
        <v/>
      </c>
      <c r="D68" s="2" t="n"/>
      <c r="I68"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2026-04-09T03:21:19Z</dcterms:created>
  <dcterms:modified xsi:type="dcterms:W3CDTF">2026-04-09T03:21:19Z</dcterms:modified>
</cp:coreProperties>
</file>