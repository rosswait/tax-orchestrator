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shboard" sheetId="2" state="visible" r:id="rId2"/>
    <sheet name="Investment Income Snapshots" sheetId="3" state="visible" r:id="rId3"/>
    <sheet name="Wage Snapshots" sheetId="4" state="visible" r:id="rId4"/>
    <sheet name="Tax Constants" sheetId="5" state="visible" r:id="rId5"/>
    <sheet name="Parsing Instructions for Agents"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4">
    <font>
      <name val="Calibri"/>
      <family val="2"/>
      <color theme="1"/>
      <sz val="11"/>
      <scheme val="minor"/>
    </font>
    <font>
      <b val="1"/>
      <color rgb="00FFFFFF"/>
      <sz val="11"/>
    </font>
    <font>
      <b val="1"/>
    </font>
    <font>
      <b val="1"/>
      <color rgb="00FF0000"/>
    </font>
  </fonts>
  <fills count="5">
    <fill>
      <patternFill/>
    </fill>
    <fill>
      <patternFill patternType="gray125"/>
    </fill>
    <fill>
      <patternFill patternType="solid">
        <fgColor rgb="002F75B5"/>
        <bgColor rgb="002F75B5"/>
      </patternFill>
    </fill>
    <fill>
      <patternFill patternType="solid">
        <fgColor rgb="00FFF2CC"/>
        <bgColor rgb="00FFF2CC"/>
      </patternFill>
    </fill>
    <fill>
      <patternFill patternType="solid">
        <fgColor rgb="00DDEBF7"/>
        <b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3" fillId="4" borderId="0" pivotButton="0" quotePrefix="0" xfId="0"/>
    <xf numFmtId="164" fontId="3" fillId="4" borderId="0" pivotButton="0" quotePrefix="0" xfId="0"/>
    <xf numFmtId="165" fontId="2" fillId="3" borderId="0" pivotButton="0" quotePrefix="0" xfId="0"/>
    <xf numFmtId="164" fontId="2" fillId="3" borderId="0" pivotButton="0" quotePrefix="0" xfId="0"/>
    <xf numFmtId="0" fontId="2" fillId="3" borderId="0" pivotButton="0" quotePrefix="0" xfId="0"/>
    <xf numFmtId="0" fontId="2" fillId="4" borderId="0" pivotButton="0" quotePrefix="0" xfId="0"/>
    <xf numFmtId="0" fontId="0" fillId="4" borderId="0" pivotButton="0" quotePrefix="0" xfId="0"/>
    <xf numFmtId="164" fontId="0" fillId="3" borderId="0" pivotButton="0" quotePrefix="0" xfId="0"/>
    <xf numFmtId="164" fontId="0" fillId="4" borderId="0" pivotButton="0" quotePrefix="0" xfId="0"/>
    <xf numFmtId="1" fontId="0" fillId="0" borderId="0" pivotButton="0" quotePrefix="0" xfId="0"/>
    <xf numFmtId="165" fontId="0" fillId="3" borderId="0" pivotButton="0" quotePrefix="0" xfId="0"/>
    <xf numFmtId="164" fontId="0" fillId="0" borderId="0" pivotButton="0" quotePrefix="0" xfId="0"/>
    <xf numFmtId="10" fontId="0" fillId="3" borderId="0" pivotButton="0" quotePrefix="0" xfId="0"/>
    <xf numFmtId="1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Ross Wait</author>
  </authors>
  <commentList>
    <comment ref="D1" authorId="0" shapeId="0">
      <text>
        <t>Record your quarterly estimated tax payments made directly to the IRS or FTB here. This is the primary source of truth for tracking payments made outside of payroll withholding.</t>
      </text>
    </comment>
    <comment ref="I1" authorId="0" shapeId="0">
      <text>
        <t>The high-visibility focal point for immediate tax obligations. Values here update automatically based on today's date and your entered payments.</t>
      </text>
    </comment>
    <comment ref="E2" authorId="0" shapeId="0">
      <text>
        <t>MANUAL ENTRY. This field is not auto-populated. It is provided as a convenience for you to manually log what the system recommended at the time of your payment for your records.</t>
      </text>
    </comment>
    <comment ref="F2" authorId="0" shapeId="0">
      <text>
        <t>ENTER PAYMENTS HERE. This field is REQUIRED to accurately calculate your 'DUE NOW' totals in the Action Center. This ensures the system recognizes your progress and doesn't double-count required taxes.</t>
      </text>
    </comment>
    <comment ref="G2" authorId="0" shapeId="0">
      <text>
        <t>Track payment confirmation numbers, specific quarterly intent, or voucher details here.</t>
      </text>
    </comment>
    <comment ref="B4" authorId="0" shapeId="0">
      <text>
        <t>Enter your total tax from last year's Federal Form 1040 (typically Line 24 minus Line 19).</t>
      </text>
    </comment>
    <comment ref="B5" authorId="0" shapeId="0">
      <text>
        <t>Enter your total tax from last year's California Form 540.</t>
      </text>
    </comment>
    <comment ref="B9" authorId="0" shapeId="0">
      <text>
        <t>The baseline date used to calculate your current 'Due Now' amounts and deadlines. Defaults to =TODAY(), but you can manually override it to simulate your tax position at a future or past date.</t>
      </text>
    </comment>
    <comment ref="B12" authorId="0" shapeId="0">
      <text>
        <t>Manual Offset: Adjust total income for one-off events like bonuses or unpaid leave that aren't recurring in your payroll snapshots.</t>
      </text>
    </comment>
    <comment ref="B13" authorId="0" shapeId="0">
      <text>
        <t>1.0 = normal earnings. Use &lt; 1.0 if you expect to stop working. Use &gt; 1.0 if you expect a year-end windfall.</t>
      </text>
    </comment>
    <comment ref="I15" authorId="0" shapeId="0">
      <text>
        <t>A real-time health check on your tax situation. Verify your Effective Rates and Brackets to ensure the model matches your expectations.</t>
      </text>
    </comment>
    <comment ref="B16" authorId="0" shapeId="0">
      <text>
        <t>Blunt Quarterly Projection: Projects Dividends/Interest for the remainder of the year based on the current quarter (derived from Status Date). Assumes steady-state quarterly receipts.</t>
      </text>
    </comment>
    <comment ref="I16" authorId="0" shapeId="0">
      <text>
        <t>Specifies if the system is currently targeting 110% of last year's tax (Safe Harbor) or 90% of your current forecast (Forecast), prioritizing the lower baseline for your safety.</t>
      </text>
    </comment>
    <comment ref="I18" authorId="0" shapeId="0">
      <text>
        <t>Total projected Federal Tax divided by Federal AGI. (Standardized against Federal AGI for comparability).</t>
      </text>
    </comment>
    <comment ref="I19" authorId="0" shapeId="0">
      <text>
        <t>Total projected California Tax divided by Federal AGI. (Standardized against Federal AGI for comparability).</t>
      </text>
    </comment>
    <comment ref="I21" authorId="0" shapeId="0">
      <text>
        <t>The highest tax rate applied to your last dollar of California income.</t>
      </text>
    </comment>
    <comment ref="I23" authorId="0" shapeId="0">
      <text>
        <t>Confirms which year's tax brackets are being applied by the simulation. All logic in this sheet pivots off this value.</t>
      </text>
    </comment>
    <comment ref="I28" authorId="0" shapeId="0">
      <text>
        <t>HSA Verification: Checks that HSA contributions are added back to California income. If you do not have an HSA, this will simply confirm 'No HSA Detected'.</t>
      </text>
    </comment>
    <comment ref="I29" authorId="0" shapeId="0">
      <text>
        <t>Occurs when the simulator uses Federal tax logic from a previous year as a conservative proxy while waiting for new year bracket releases.</t>
      </text>
    </comment>
    <comment ref="I30" authorId="0" shapeId="0">
      <text>
        <t>Occurs when the simulator uses California tax logic from a previous year as a conservative proxy. CA brackets are often finalized mid-year.</t>
      </text>
    </comment>
  </commentList>
</comments>
</file>

<file path=xl/comments/comment2.xml><?xml version="1.0" encoding="utf-8"?>
<comments xmlns="http://schemas.openxmlformats.org/spreadsheetml/2006/main">
  <authors>
    <author>Ross Wait</author>
  </authors>
  <commentList>
    <comment ref="A1" authorId="0" shapeId="0">
      <text>
        <t>PREFERRED USAGE: Enter your cumulative YTD brokerage totals, overwriting previous rows. Monthly/Quarterly statements work if they form a complete, non-overlapping sequence.</t>
      </text>
    </comment>
  </commentList>
</comments>
</file>

<file path=xl/comments/comment3.xml><?xml version="1.0" encoding="utf-8"?>
<comments xmlns="http://schemas.openxmlformats.org/spreadsheetml/2006/main">
  <authors>
    <author>Ross Wait</author>
  </authors>
  <commentList>
    <comment ref="A1" authorId="0" shapeId="0">
      <text>
        <t>PREFERRED USAGE: Enter your latest YTD paystub data in a single row, overwriting previous data. Periodic/per-paycheck statements also work if entered as a complete, sequential set.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28" customWidth="1" min="1" max="1"/>
  </cols>
  <sheetData>
    <row r="1">
      <c r="A1" s="1" t="inlineStr">
        <is>
          <t>Quick Start Guide</t>
        </is>
      </c>
    </row>
    <row r="2">
      <c r="A2" t="inlineStr"/>
    </row>
    <row r="3">
      <c r="A3" t="inlineStr">
        <is>
          <t>Step 1: Enter your latest YTD paystub details in the 'Wage Snapshots' tab.</t>
        </is>
      </c>
    </row>
    <row r="4">
      <c r="A4" t="inlineStr">
        <is>
          <t>Step 2: Enter your latest YTD brokerage totals in 'Investment Income Snapshots'.</t>
        </is>
      </c>
    </row>
    <row r="5">
      <c r="A5" t="inlineStr">
        <is>
          <t>Step 3: (Optional) Enter your 'Prior Year Tax' liability in the Dashboard to enable Safe Harbor targets.</t>
        </is>
      </c>
    </row>
    <row r="6">
      <c r="A6" t="inlineStr">
        <is>
          <t>Step 4: (Optional) Enter your estimated 'Itemized Deductions' if you expect to exceed the Standard Deduction.</t>
        </is>
      </c>
    </row>
    <row r="7">
      <c r="A7" t="inlineStr">
        <is>
          <t>Step 5: Check the 'PAYMENT ACTION CENTER' on the Dashboard for immediate payment requirements.</t>
        </is>
      </c>
    </row>
    <row r="8">
      <c r="A8" s="1" t="inlineStr"/>
    </row>
    <row r="9">
      <c r="A9" t="inlineStr">
        <is>
          <t>Important Notes</t>
        </is>
      </c>
    </row>
    <row r="10">
      <c r="A10" t="inlineStr">
        <is>
          <t>1. Investment Income: Dividends and Interest are automatically projected for the full year based on the current quarter. Capital Gains (Short/Long term) are treated as one-off events and are NOT projected.</t>
        </is>
      </c>
    </row>
    <row r="11">
      <c r="A11" t="inlineStr">
        <is>
          <t>2. HSA (California): HSA contributions are automatically added back to CA state income as they are not deductible in California.</t>
        </is>
      </c>
    </row>
    <row r="12">
      <c r="A12" t="inlineStr">
        <is>
          <t>3. Income Projections: The engine pro-rates your remaining annual income based on the days elapsed since Jan 1. You can adjust these projections by entering values into 'Manual Income Offset' or 'Future Income Weight' in Section 1.5 of the Dashboard.</t>
        </is>
      </c>
    </row>
    <row r="13">
      <c r="A13" t="inlineStr">
        <is>
          <t>4. YTD Methodology: Always use Year-to-Date (YTD) totals from your statements. Overwrite existing rows as new statements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28" customWidth="1" min="1" max="1"/>
    <col width="12" customWidth="1" min="2" max="2"/>
    <col width="12" customWidth="1" min="3" max="3"/>
    <col width="28" customWidth="1" min="4" max="4"/>
    <col width="28" customWidth="1" min="5" max="5"/>
    <col width="28" customWidth="1" min="6" max="6"/>
    <col width="12" customWidth="1" min="7" max="7"/>
    <col width="12" customWidth="1" min="8" max="8"/>
    <col width="24" customWidth="1" min="9" max="9"/>
    <col width="12" customWidth="1" min="10" max="10"/>
  </cols>
  <sheetData>
    <row r="1">
      <c r="A1" s="1" t="inlineStr">
        <is>
          <t>Configuration</t>
        </is>
      </c>
      <c r="D1" s="1" t="inlineStr">
        <is>
          <t>Estimated Tax Payments Ledger</t>
        </is>
      </c>
      <c r="I1" s="1" t="inlineStr">
        <is>
          <t>PAYMENT ACTION CENTER</t>
        </is>
      </c>
      <c r="J1" s="1" t="n"/>
    </row>
    <row r="2">
      <c r="A2" s="2" t="inlineStr">
        <is>
          <t>Filing Status (Single)</t>
        </is>
      </c>
      <c r="B2" s="3" t="inlineStr">
        <is>
          <t>Single</t>
        </is>
      </c>
      <c r="D2" s="2" t="inlineStr">
        <is>
          <t>Date</t>
        </is>
      </c>
      <c r="E2" s="2" t="inlineStr">
        <is>
          <t>Calculated Estimate (Optional)</t>
        </is>
      </c>
      <c r="F2" s="2" t="inlineStr">
        <is>
          <t>Actual Payment Made (Required)</t>
        </is>
      </c>
      <c r="G2" s="2" t="inlineStr">
        <is>
          <t>Note</t>
        </is>
      </c>
      <c r="I2" s="4" t="inlineStr">
        <is>
          <t>FED DUE NOW:</t>
        </is>
      </c>
      <c r="J2" s="5">
        <f>IFS(B9&lt;=DATE(B8,4,15), C55, B9&lt;=DATE(B8,6,15), C56, B9&lt;=DATE(B8,9,15), C57, TRUE, C58)</f>
        <v/>
      </c>
    </row>
    <row r="3">
      <c r="A3" s="2" t="inlineStr">
        <is>
          <t>Dependents (Under 17)</t>
        </is>
      </c>
      <c r="B3" s="3" t="n">
        <v>0</v>
      </c>
      <c r="D3" s="6">
        <f>DATE(B8,4,15)</f>
        <v/>
      </c>
      <c r="E3" s="7" t="n"/>
      <c r="F3" s="7" t="n"/>
      <c r="G3" s="8" t="inlineStr">
        <is>
          <t>Fed Q1</t>
        </is>
      </c>
      <c r="I3" s="9" t="inlineStr">
        <is>
          <t>BY DEADLINE:</t>
        </is>
      </c>
      <c r="J3" s="10">
        <f>IFS(B9&lt;=DATE(B8,4,15), "04/15/"&amp;B8, B9&lt;=DATE(B8,6,15), "06/15/"&amp;B8, B9&lt;=DATE(B8,9,15), "09/15/"&amp;B8, TRUE, "01/15/"&amp;(B8+1))</f>
        <v/>
      </c>
    </row>
    <row r="4">
      <c r="A4" s="2" t="inlineStr">
        <is>
          <t>Prior Year Fed Tax (Safe Harbor)</t>
        </is>
      </c>
      <c r="B4" s="11" t="n">
        <v>0</v>
      </c>
      <c r="D4" s="6">
        <f>DATE(B8,4,15)</f>
        <v/>
      </c>
      <c r="E4" s="7" t="n"/>
      <c r="F4" s="7" t="n"/>
      <c r="G4" s="8" t="inlineStr">
        <is>
          <t>CA Q1</t>
        </is>
      </c>
      <c r="I4" s="9" t="inlineStr">
        <is>
          <t>Next FED Target:</t>
        </is>
      </c>
      <c r="J4" s="12">
        <f>IFS(B9&lt;=DATE(B8,4,15), B55, B9&lt;=DATE(B8,6,15), B56, B9&lt;=DATE(B8,9,15), B57, TRUE, B58)</f>
        <v/>
      </c>
    </row>
    <row r="5">
      <c r="A5" s="2" t="inlineStr">
        <is>
          <t>Prior Year CA Tax (Safe Harbor)</t>
        </is>
      </c>
      <c r="B5" s="11" t="n">
        <v>0</v>
      </c>
      <c r="D5" s="6">
        <f>DATE(B8,6,15)</f>
        <v/>
      </c>
      <c r="E5" s="7" t="n"/>
      <c r="F5" s="7" t="n"/>
      <c r="G5" s="8" t="inlineStr">
        <is>
          <t>Fed Q2</t>
        </is>
      </c>
      <c r="I5" s="9" t="inlineStr">
        <is>
          <t>FED Payments YTD:</t>
        </is>
      </c>
      <c r="J5" s="12">
        <f>B50</f>
        <v/>
      </c>
    </row>
    <row r="6">
      <c r="A6" s="2" t="inlineStr">
        <is>
          <t>Estimated Fed Itemized Deduction</t>
        </is>
      </c>
      <c r="B6" s="11" t="n">
        <v>0</v>
      </c>
      <c r="D6" s="6">
        <f>DATE(B8,6,15)</f>
        <v/>
      </c>
      <c r="E6" s="7" t="n"/>
      <c r="F6" s="7" t="n"/>
      <c r="G6" s="8" t="inlineStr">
        <is>
          <t>CA Q2</t>
        </is>
      </c>
      <c r="I6" s="9" t="inlineStr">
        <is>
          <t>FED Status:</t>
        </is>
      </c>
      <c r="J6" s="10">
        <f>IF(J5&gt;=J4, "✅ Met (Surplus: " &amp; TEXT(J5-J4, "$#,##0") &amp; ")", "🔴 Shortfall (" &amp; TEXT(J4-J5, "$#,##0") &amp; ")")</f>
        <v/>
      </c>
    </row>
    <row r="7">
      <c r="A7" s="2" t="inlineStr">
        <is>
          <t>Estimated CA Itemized Deduction</t>
        </is>
      </c>
      <c r="B7" s="11" t="n">
        <v>0</v>
      </c>
      <c r="D7" s="6">
        <f>DATE(B8,9,15)</f>
        <v/>
      </c>
      <c r="E7" s="7" t="n"/>
      <c r="F7" s="7" t="n"/>
      <c r="G7" s="8" t="inlineStr">
        <is>
          <t>Fed Q3</t>
        </is>
      </c>
      <c r="I7" s="9" t="n"/>
      <c r="J7" s="10" t="n"/>
    </row>
    <row r="8">
      <c r="A8" s="2" t="inlineStr">
        <is>
          <t>Estimated Tax Year</t>
        </is>
      </c>
      <c r="B8" s="13">
        <f>IF(AND(MONTH(B9)=1, DAY(B9)&lt;=30), YEAR(B9)-1, YEAR(B9))</f>
        <v/>
      </c>
      <c r="D8" s="6">
        <f>DATE(B8,9,15)</f>
        <v/>
      </c>
      <c r="E8" s="7" t="n"/>
      <c r="F8" s="7" t="n"/>
      <c r="G8" s="8" t="inlineStr">
        <is>
          <t>CA Q3</t>
        </is>
      </c>
      <c r="I8" s="4" t="inlineStr">
        <is>
          <t>CA DUE NOW:</t>
        </is>
      </c>
      <c r="J8" s="5">
        <f>IFS(B9&lt;=DATE(B8,4,15), C61, B9&lt;=DATE(B8,6,15), C62, B9&lt;=DATE(B8,9,15), C63, TRUE, C64)</f>
        <v/>
      </c>
    </row>
    <row r="9">
      <c r="A9" s="2" t="inlineStr">
        <is>
          <t>Status Date</t>
        </is>
      </c>
      <c r="B9" s="14">
        <f>TODAY()</f>
        <v/>
      </c>
      <c r="D9" s="6">
        <f>DATE(B8+1,1,15)</f>
        <v/>
      </c>
      <c r="E9" s="7" t="n"/>
      <c r="F9" s="7" t="n"/>
      <c r="G9" s="8" t="inlineStr">
        <is>
          <t>Fed Q4</t>
        </is>
      </c>
      <c r="I9" s="9" t="inlineStr">
        <is>
          <t>BY DEADLINE:</t>
        </is>
      </c>
      <c r="J9" s="10">
        <f>IFS(B9&lt;=DATE(B8,4,15), "04/15/"&amp;B8, B9&lt;=DATE(B8,6,15), "06/15/"&amp;B8, B9&lt;=DATE(B8,9,15), "09/15/"&amp;B8, TRUE, "01/15/"&amp;(B8+1))</f>
        <v/>
      </c>
    </row>
    <row r="10">
      <c r="A10" s="2" t="n"/>
      <c r="B10" s="15" t="n"/>
      <c r="D10" s="6">
        <f>DATE(B8+1,1,15)</f>
        <v/>
      </c>
      <c r="E10" s="7" t="n"/>
      <c r="F10" s="7" t="n"/>
      <c r="G10" s="8" t="inlineStr">
        <is>
          <t>CA Q4</t>
        </is>
      </c>
      <c r="I10" s="9" t="inlineStr">
        <is>
          <t>Next CA Target:</t>
        </is>
      </c>
      <c r="J10" s="12">
        <f>IFS(B9&lt;=DATE(B8,4,15), B61, B9&lt;=DATE(B8,6,15), B62, B9&lt;=DATE(B8,9,15), B63, TRUE, B64)</f>
        <v/>
      </c>
    </row>
    <row r="11">
      <c r="A11" s="1" t="inlineStr">
        <is>
          <t>Projection &amp; Assumptions</t>
        </is>
      </c>
      <c r="B11" s="15" t="n"/>
      <c r="D11" s="2" t="n"/>
      <c r="I11" s="9" t="inlineStr">
        <is>
          <t>CA Payments YTD:</t>
        </is>
      </c>
      <c r="J11" s="12">
        <f>B52</f>
        <v/>
      </c>
    </row>
    <row r="12">
      <c r="A12" s="2" t="inlineStr">
        <is>
          <t>Manual Income Offset ($)</t>
        </is>
      </c>
      <c r="B12" s="11" t="n">
        <v>0</v>
      </c>
      <c r="D12" s="2" t="n"/>
      <c r="I12" s="9" t="inlineStr">
        <is>
          <t>CA Status:</t>
        </is>
      </c>
      <c r="J12" s="10">
        <f>IF(J11&gt;=J10, "✅ Met (Surplus: " &amp; TEXT(J11-J10, "$#,##0") &amp; ")", "🔴 Shortfall (" &amp; TEXT(J10-J11, "$#,##0") &amp; ")")</f>
        <v/>
      </c>
    </row>
    <row r="13">
      <c r="A13" s="2" t="inlineStr">
        <is>
          <t>Future Income Weight (%)</t>
        </is>
      </c>
      <c r="B13" s="16" t="n">
        <v>1</v>
      </c>
      <c r="D13" s="2" t="n"/>
      <c r="I13" s="9" t="n"/>
      <c r="J13" s="10" t="n"/>
    </row>
    <row r="14">
      <c r="A14" s="2" t="inlineStr">
        <is>
          <t>Remaining Year Wage Income</t>
        </is>
      </c>
      <c r="B14" s="15">
        <f>IF(MAX('Wage Snapshots'!A:A)=0, 0, (SUM('Wage Snapshots'!B:B) / MAX(1, MAX('Wage Snapshots'!A:A) - DATE(B8,1,1))) * (DATE(B8,12,31) - MAX('Wage Snapshots'!A:A)))</f>
        <v/>
      </c>
      <c r="D14" s="2" t="n"/>
      <c r="I14" s="2" t="n"/>
    </row>
    <row r="15">
      <c r="A15" s="2" t="inlineStr">
        <is>
          <t>Remaining Year Deductions</t>
        </is>
      </c>
      <c r="B15" s="15">
        <f>IF(MAX('Wage Snapshots'!A:A)=0, 0, (SUM('Wage Snapshots'!C:D) / MAX(1, MAX('Wage Snapshots'!A:A) - DATE(B8,1,1))) * (DATE(B8,12,31) - MAX('Wage Snapshots'!A:A)))</f>
        <v/>
      </c>
      <c r="D15" s="2" t="n"/>
      <c r="I15" s="1" t="inlineStr">
        <is>
          <t>TAX DIAGNOSTICS</t>
        </is>
      </c>
    </row>
    <row r="16">
      <c r="A16" s="2" t="inlineStr">
        <is>
          <t>Remaining Year Interest and Dividends</t>
        </is>
      </c>
      <c r="B16" s="15">
        <f>SUM('Investment Income Snapshots'!C:C) * ( (4 / ROUNDUP(MONTH(B9)/3, 0)) - 1 )</f>
        <v/>
      </c>
      <c r="D16" s="2" t="n"/>
      <c r="I16" s="2" t="inlineStr">
        <is>
          <t>Fed Target Method:</t>
        </is>
      </c>
      <c r="J16">
        <f>IF(B4=0, "90% Forecast", IF(B46*0.9 &lt; B4*1.1, "90% Forecast", "110% Safe Harbor"))</f>
        <v/>
      </c>
    </row>
    <row r="17">
      <c r="A17" s="1" t="inlineStr">
        <is>
          <t>Consolidated Income Projection</t>
        </is>
      </c>
      <c r="B17" s="15" t="n"/>
      <c r="D17" s="2" t="n"/>
      <c r="I17" s="2" t="inlineStr">
        <is>
          <t>CA Target Method:</t>
        </is>
      </c>
      <c r="J17">
        <f>IF(B5=0, "80% Forecast", IF(B37*0.8 &lt; B5*1.1, "80% Forecast", "110% Safe Harbor"))</f>
        <v/>
      </c>
    </row>
    <row r="18">
      <c r="A18" s="2" t="inlineStr">
        <is>
          <t>Total Projected Wage Income</t>
        </is>
      </c>
      <c r="B18" s="15">
        <f>SUM('Wage Snapshots'!B:B) + (B14 * B13) + B12</f>
        <v/>
      </c>
      <c r="D18" s="2" t="n"/>
      <c r="I18" s="2" t="inlineStr">
        <is>
          <t>Effective Fed Rate:</t>
        </is>
      </c>
      <c r="J18" s="17">
        <f>B46 / MAX(1, B23)</f>
        <v/>
      </c>
    </row>
    <row r="19">
      <c r="A19" s="2" t="inlineStr">
        <is>
          <t>Federal W-2 State Wages</t>
        </is>
      </c>
      <c r="B19" s="15">
        <f>B18 - SUM('Wage Snapshots'!C:D) - (B15 * B13)</f>
        <v/>
      </c>
      <c r="D19" s="2" t="n"/>
      <c r="I19" s="2" t="inlineStr">
        <is>
          <t>Effective CA Rate:</t>
        </is>
      </c>
      <c r="J19" s="17">
        <f>B37 / MAX(1, B23)</f>
        <v/>
      </c>
    </row>
    <row r="20">
      <c r="A20" s="2" t="inlineStr">
        <is>
          <t>CA W-2 State Wages</t>
        </is>
      </c>
      <c r="B20" s="15">
        <f>B18 - SUM('Wage Snapshots'!C:C) - (SUM('Wage Snapshots'!C:C)/MAX(1, SUM('Wage Snapshots'!C:D))) * B15 * B13</f>
        <v/>
      </c>
      <c r="D20" s="2" t="n"/>
      <c r="I20" s="2" t="inlineStr">
        <is>
          <t>Marginal Fed Bracket:</t>
        </is>
      </c>
      <c r="J20" s="17">
        <f>XLOOKUP(B28, FILTER('Tax Constants'!C3:C30, 'Tax Constants'!B3:B30=B2), FILTER('Tax Constants'!E3:E30, 'Tax Constants'!B3:B30=B2), 0, -1)</f>
        <v/>
      </c>
    </row>
    <row r="21">
      <c r="A21" s="2" t="inlineStr">
        <is>
          <t>Investment Ordinary (Div/Int + STG)</t>
        </is>
      </c>
      <c r="B21" s="15">
        <f>SUM('Investment Income Snapshots'!C:C) + B16 + SUM('Investment Income Snapshots'!D:D)</f>
        <v/>
      </c>
      <c r="D21" s="2" t="n"/>
      <c r="I21" s="2" t="inlineStr">
        <is>
          <t>Marginal CA Bracket:</t>
        </is>
      </c>
      <c r="J21" s="17">
        <f>XLOOKUP(B34, FILTER('Tax Constants'!C49:C84, 'Tax Constants'!B49:B84=B2), FILTER('Tax Constants'!E49:E84, 'Tax Constants'!B49:B84=B2), 0, -1)</f>
        <v/>
      </c>
    </row>
    <row r="22">
      <c r="A22" s="2" t="inlineStr">
        <is>
          <t>Investment Preferential (LTG Only)</t>
        </is>
      </c>
      <c r="B22" s="15">
        <f>SUM('Investment Income Snapshots'!E:E)</f>
        <v/>
      </c>
      <c r="D22" s="2" t="n"/>
      <c r="I22" s="2" t="inlineStr">
        <is>
          <t>Deduction Applied:</t>
        </is>
      </c>
      <c r="J22">
        <f>IF(B6&gt;XLOOKUP(B2, 'Tax Constants'!B3:B30, 'Tax Constants'!F3:F30, 0), "ITEMIZED", "STANDARD")</f>
        <v/>
      </c>
    </row>
    <row r="23">
      <c r="A23" s="2" t="inlineStr">
        <is>
          <t>Total Projected Federal AGI</t>
        </is>
      </c>
      <c r="B23" s="15">
        <f>B19 + B21 + B22</f>
        <v/>
      </c>
      <c r="D23" s="2" t="n"/>
      <c r="I23" s="2" t="inlineStr">
        <is>
          <t>Bracket Year:</t>
        </is>
      </c>
      <c r="J23" s="13" t="n">
        <v>2025</v>
      </c>
    </row>
    <row r="24">
      <c r="A24" s="2" t="inlineStr">
        <is>
          <t>Total Projected CA AGI</t>
        </is>
      </c>
      <c r="B24" s="15">
        <f>B20 + B21 + B22</f>
        <v/>
      </c>
      <c r="D24" s="2" t="n"/>
      <c r="I24" s="2" t="n"/>
    </row>
    <row r="25">
      <c r="A25" s="2" t="n"/>
      <c r="B25" s="15" t="n"/>
      <c r="D25" s="2" t="n"/>
      <c r="I25" s="1" t="inlineStr">
        <is>
          <t>ACTIVE WARNINGS</t>
        </is>
      </c>
    </row>
    <row r="26">
      <c r="A26" s="1" t="inlineStr">
        <is>
          <t>Federal Tax Calculation</t>
        </is>
      </c>
      <c r="B26" s="15" t="n"/>
      <c r="D26" s="2" t="n"/>
      <c r="I26" s="2" t="inlineStr">
        <is>
          <t>Stale Snapshots:</t>
        </is>
      </c>
      <c r="J26">
        <f>IF(OR(MAX('Wage Snapshots'!A:A)=0, (B9 - MAX('Wage Snapshots'!A:A)) &gt; 30), "🔴 !!! 30+ DAYS OLD !!!", "OK")</f>
        <v/>
      </c>
    </row>
    <row r="27">
      <c r="A27" s="2" t="inlineStr">
        <is>
          <t>Deduction Applied (Max Std/Item)</t>
        </is>
      </c>
      <c r="B27" s="15">
        <f>MAX(XLOOKUP(B2, 'Tax Constants'!B3:B30, 'Tax Constants'!F3:F30, 0), B6)</f>
        <v/>
      </c>
      <c r="D27" s="2" t="n"/>
      <c r="I27" s="2" t="inlineStr">
        <is>
          <t>Prior Year Data:</t>
        </is>
      </c>
      <c r="J27">
        <f>IF(B4=0, "🔴 WARNING: FED MISSING", "OK")</f>
        <v/>
      </c>
    </row>
    <row r="28">
      <c r="A28" s="2" t="inlineStr">
        <is>
          <t>Ordinary Taxable Income</t>
        </is>
      </c>
      <c r="B28" s="15">
        <f>MAX(0, B23 - B27 - B22)</f>
        <v/>
      </c>
      <c r="D28" s="2" t="n"/>
      <c r="I28" s="2" t="inlineStr">
        <is>
          <t>HSA Verification (CA):</t>
        </is>
      </c>
      <c r="J28">
        <f>IF(SUM('Wage Snapshots'!D:D)=0, "✅ No HSA Detected", IF(B20=B19, "🔴 ERR: HSA NOT ADDED TO CA", "✅ HSA Corrected (CA)"))</f>
        <v/>
      </c>
    </row>
    <row r="29">
      <c r="A29" s="2" t="inlineStr">
        <is>
          <t>Ordinary Income Tax</t>
        </is>
      </c>
      <c r="B29" s="15">
        <f>XLOOKUP(B28, FILTER('Tax Constants'!C3:C30, 'Tax Constants'!B3:B30=B2), FILTER('Tax Constants'!D3:D30, 'Tax Constants'!B3:B30=B2), 0, -1) + (B28 - XLOOKUP(B28, FILTER('Tax Constants'!C3:C30, 'Tax Constants'!B3:B30=B2), FILTER('Tax Constants'!C3:C30, 'Tax Constants'!B3:B30=B2), 0, -1)) * XLOOKUP(B28, FILTER('Tax Constants'!C3:C30, 'Tax Constants'!B3:B30=B2), FILTER('Tax Constants'!E3:E30, 'Tax Constants'!B3:B30=B2), 0, -1)</f>
        <v/>
      </c>
      <c r="D29" s="2" t="n"/>
      <c r="I29" s="2" t="inlineStr">
        <is>
          <t>Fed Brackets Stale:</t>
        </is>
      </c>
      <c r="J29">
        <f>IF(B8 &gt; J23, "⚠️ FED STALE: "&amp;B8&amp;" brackets missing, using 2025 instead", "OK")</f>
        <v/>
      </c>
    </row>
    <row r="30">
      <c r="A30" s="2" t="inlineStr">
        <is>
          <t>Capital Gains Tax</t>
        </is>
      </c>
      <c r="B30" s="15">
        <f>IF(B22&gt;0, B22 * XLOOKUP(B28+B22, FILTER('Tax Constants'!C34:C45, 'Tax Constants'!B34:B45=B2), FILTER('Tax Constants'!D34:D45, 'Tax Constants'!B34:B45=B2), 0, -1), 0)</f>
        <v/>
      </c>
      <c r="D30" s="2" t="n"/>
      <c r="I30" s="2" t="inlineStr">
        <is>
          <t>CA Brackets Stale:</t>
        </is>
      </c>
      <c r="J30">
        <f>IF(B8 &gt; J23, "⚠️ CA STALE: "&amp;B8&amp;" brackets missing, using 2025 instead", "OK")</f>
        <v/>
      </c>
    </row>
    <row r="31">
      <c r="A31" s="2" t="n"/>
      <c r="B31" s="15" t="n"/>
      <c r="D31" s="2" t="n"/>
      <c r="I31" s="2" t="n"/>
    </row>
    <row r="32">
      <c r="A32" s="1" t="inlineStr">
        <is>
          <t>CA Tax Calculation</t>
        </is>
      </c>
      <c r="B32" s="15" t="n"/>
      <c r="D32" s="2" t="n"/>
      <c r="I32" s="2" t="n"/>
    </row>
    <row r="33">
      <c r="A33" s="2" t="inlineStr">
        <is>
          <t>CA Deduction Applied</t>
        </is>
      </c>
      <c r="B33" s="15">
        <f>MAX(XLOOKUP(B2, 'Tax Constants'!B49:B84, 'Tax Constants'!F49:F84, 0), B7)</f>
        <v/>
      </c>
      <c r="D33" s="2" t="n"/>
      <c r="I33" s="2" t="n"/>
    </row>
    <row r="34">
      <c r="A34" s="2" t="inlineStr">
        <is>
          <t>CA Taxable Income</t>
        </is>
      </c>
      <c r="B34" s="15">
        <f>MAX(0, B24 - B33)</f>
        <v/>
      </c>
      <c r="D34" s="2" t="n"/>
      <c r="I34" s="2" t="n"/>
    </row>
    <row r="35">
      <c r="A35" s="2" t="inlineStr">
        <is>
          <t>CA Regular Tax</t>
        </is>
      </c>
      <c r="B35" s="15">
        <f>XLOOKUP(B34, FILTER('Tax Constants'!C49:C84, 'Tax Constants'!B49:B84=B2), FILTER('Tax Constants'!D49:D84, 'Tax Constants'!B49:B84=B2), 0, -1) + (B34 - XLOOKUP(B34, FILTER('Tax Constants'!C49:C84, 'Tax Constants'!B49:B84=B2), FILTER('Tax Constants'!C49:C84, 'Tax Constants'!B49:B84=B2), 0, -1)) * XLOOKUP(B34, FILTER('Tax Constants'!C49:C84, 'Tax Constants'!B49:B84=B2), FILTER('Tax Constants'!E49:E84, 'Tax Constants'!B49:B84=B2), 0, -1)</f>
        <v/>
      </c>
      <c r="D35" s="2" t="n"/>
      <c r="I35" s="2" t="n"/>
    </row>
    <row r="36">
      <c r="A36" s="2" t="inlineStr">
        <is>
          <t>CA MH Surcharge (1%)</t>
        </is>
      </c>
      <c r="B36" s="15">
        <f>IF(B34 &gt; 1000000, (B34 - 1000000) * 0.01, 0)</f>
        <v/>
      </c>
      <c r="D36" s="2" t="n"/>
      <c r="I36" s="2" t="n"/>
    </row>
    <row r="37">
      <c r="A37" s="2" t="inlineStr">
        <is>
          <t>Total CA Liability</t>
        </is>
      </c>
      <c r="B37" s="15">
        <f>B35 + B36</f>
        <v/>
      </c>
      <c r="D37" s="2" t="n"/>
      <c r="I37" s="2" t="n"/>
    </row>
    <row r="38">
      <c r="A38" s="2" t="n"/>
      <c r="B38" s="15" t="n"/>
      <c r="D38" s="2" t="n"/>
      <c r="I38" s="2" t="n"/>
    </row>
    <row r="39">
      <c r="A39" s="2" t="inlineStr">
        <is>
          <t>Final Liability &amp; Surtaxes</t>
        </is>
      </c>
      <c r="B39" s="15" t="n"/>
      <c r="D39" s="2" t="n"/>
      <c r="I39" s="2" t="n"/>
    </row>
    <row r="40">
      <c r="A40" s="2" t="inlineStr">
        <is>
          <t>NIIT Threshold</t>
        </is>
      </c>
      <c r="B40" s="15">
        <f>XLOOKUP(B2, 'Tax Constants'!B88:B91, 'Tax Constants'!C88:C91, 200000)</f>
        <v/>
      </c>
      <c r="D40" s="2" t="n"/>
      <c r="I40" s="2" t="n"/>
    </row>
    <row r="41">
      <c r="A41" s="2" t="inlineStr">
        <is>
          <t>NIIT (Fed)</t>
        </is>
      </c>
      <c r="B41" s="15">
        <f>IF(B23 &gt; B40, 0.038 * MIN(B23-B40, B21+B22), 0)</f>
        <v/>
      </c>
      <c r="D41" s="2" t="n"/>
      <c r="I41" s="2" t="n"/>
    </row>
    <row r="42">
      <c r="A42" s="2" t="inlineStr">
        <is>
          <t>Addl Medicare Threshold</t>
        </is>
      </c>
      <c r="B42" s="15">
        <f>XLOOKUP(B2, 'Tax Constants'!B88:B91, 'Tax Constants'!D88:D91, 200000)</f>
        <v/>
      </c>
      <c r="D42" s="2" t="n"/>
      <c r="I42" s="2" t="n"/>
    </row>
    <row r="43">
      <c r="A43" s="2" t="inlineStr">
        <is>
          <t>Addl Medicare (Fed)</t>
        </is>
      </c>
      <c r="B43" s="15">
        <f>IF(B18 &gt; B42, 0.009 * (B18-B42), 0)</f>
        <v/>
      </c>
      <c r="D43" s="2" t="n"/>
      <c r="I43" s="2" t="n"/>
    </row>
    <row r="44">
      <c r="A44" s="2" t="inlineStr">
        <is>
          <t>CTC Phaseout Start</t>
        </is>
      </c>
      <c r="B44" s="15">
        <f>XLOOKUP(B2, 'Tax Constants'!B88:B91, 'Tax Constants'!E88:E91, 200000)</f>
        <v/>
      </c>
      <c r="D44" s="2" t="n"/>
      <c r="I44" s="2" t="n"/>
    </row>
    <row r="45">
      <c r="A45" s="2" t="inlineStr">
        <is>
          <t>Child Tax Credit</t>
        </is>
      </c>
      <c r="B45" s="15">
        <f>IF(B23 &gt; B44, MAX(0, (B3*2000)-((B23-B44)/1000)*50), B3*2000)</f>
        <v/>
      </c>
      <c r="D45" s="2" t="n"/>
      <c r="I45" s="2" t="n"/>
    </row>
    <row r="46">
      <c r="A46" s="2" t="inlineStr">
        <is>
          <t>Total Federal Liability</t>
        </is>
      </c>
      <c r="B46" s="15">
        <f>B29 + B30 + B41 + B43 - B45</f>
        <v/>
      </c>
      <c r="D46" s="2" t="n"/>
      <c r="I46" s="2" t="n"/>
    </row>
    <row r="47">
      <c r="A47" s="2" t="n"/>
      <c r="B47" s="15" t="n"/>
      <c r="D47" s="2" t="n"/>
      <c r="I47" s="2" t="n"/>
    </row>
    <row r="48">
      <c r="A48" s="1" t="inlineStr">
        <is>
          <t>Payment Requirements</t>
        </is>
      </c>
      <c r="B48" s="15" t="n"/>
      <c r="D48" s="2" t="n"/>
      <c r="I48" s="2" t="n"/>
    </row>
    <row r="49">
      <c r="A49" s="2" t="inlineStr">
        <is>
          <t>Fed Target</t>
        </is>
      </c>
      <c r="B49" s="15">
        <f>IF(B4=0, B46 * 0.9, MIN(B46 * 0.9, B4 * 1.1))</f>
        <v/>
      </c>
      <c r="D49" s="2" t="n"/>
      <c r="I49" s="2" t="n"/>
    </row>
    <row r="50">
      <c r="A50" s="2" t="inlineStr">
        <is>
          <t>Total Fed Payments YTD</t>
        </is>
      </c>
      <c r="B50" s="15">
        <f>SUM('Wage Snapshots'!E:E) + SUMIFS(F3:F10, G3:G10, "Fed*")</f>
        <v/>
      </c>
      <c r="D50" s="2" t="n"/>
      <c r="I50" s="2" t="n"/>
    </row>
    <row r="51">
      <c r="A51" s="2" t="inlineStr">
        <is>
          <t>CA Target</t>
        </is>
      </c>
      <c r="B51" s="15">
        <f>IF(B5=0, B37 * 0.8, MIN(B37 * 0.8, B5 * 1.1))</f>
        <v/>
      </c>
      <c r="D51" s="2" t="n"/>
      <c r="I51" s="2" t="n"/>
    </row>
    <row r="52">
      <c r="A52" s="2" t="inlineStr">
        <is>
          <t>Total CA Payments YTD</t>
        </is>
      </c>
      <c r="B52" s="15">
        <f>SUM('Wage Snapshots'!F:F) + SUMIFS(F3:F10, G3:G10, "CA*")</f>
        <v/>
      </c>
      <c r="D52" s="2" t="n"/>
      <c r="I52" s="2" t="n"/>
    </row>
    <row r="53">
      <c r="A53" s="2" t="n"/>
      <c r="D53" s="2" t="n"/>
      <c r="I53" s="2" t="n"/>
    </row>
    <row r="54">
      <c r="A54" s="1" t="inlineStr">
        <is>
          <t>FEDERAL PAYMENT SCHEDULE</t>
        </is>
      </c>
      <c r="D54" s="2" t="n"/>
      <c r="I54" s="2" t="n"/>
    </row>
    <row r="55">
      <c r="A55" s="2" t="inlineStr">
        <is>
          <t>Q1 (Apr 15)</t>
        </is>
      </c>
      <c r="B55" s="15">
        <f>B49 * 0.25</f>
        <v/>
      </c>
      <c r="C55" s="15">
        <f>MAX(0, B55 - B50)</f>
        <v/>
      </c>
      <c r="D55" s="2" t="n"/>
      <c r="I55" s="2" t="n"/>
    </row>
    <row r="56">
      <c r="A56" s="2" t="inlineStr">
        <is>
          <t>Q2 (Jun 15)</t>
        </is>
      </c>
      <c r="B56" s="15">
        <f>B49 * 0.5</f>
        <v/>
      </c>
      <c r="C56" s="15">
        <f>MAX(0, B56 - B50)</f>
        <v/>
      </c>
      <c r="D56" s="2" t="n"/>
      <c r="I56" s="2" t="n"/>
    </row>
    <row r="57">
      <c r="A57" s="2" t="inlineStr">
        <is>
          <t>Q3 (Sep 15)</t>
        </is>
      </c>
      <c r="B57" s="15">
        <f>B49 * 0.75</f>
        <v/>
      </c>
      <c r="C57" s="15">
        <f>MAX(0, B57 - B50)</f>
        <v/>
      </c>
      <c r="D57" s="2" t="n"/>
      <c r="I57" s="2" t="n"/>
    </row>
    <row r="58">
      <c r="A58" s="2" t="inlineStr">
        <is>
          <t>Q4 (Jan 15)</t>
        </is>
      </c>
      <c r="B58" s="15">
        <f>B49 * 1.0</f>
        <v/>
      </c>
      <c r="C58" s="15">
        <f>MAX(0, B58 - B50)</f>
        <v/>
      </c>
      <c r="D58" s="2" t="n"/>
      <c r="I58" s="2" t="n"/>
    </row>
    <row r="59">
      <c r="A59" s="2" t="n"/>
      <c r="B59" s="15" t="n"/>
      <c r="C59" s="15" t="n"/>
      <c r="D59" s="2" t="n"/>
      <c r="I59" s="2" t="n"/>
    </row>
    <row r="60">
      <c r="A60" s="1" t="inlineStr">
        <is>
          <t>STATE PAYMENT SCHEDULE</t>
        </is>
      </c>
      <c r="B60" s="15" t="n"/>
      <c r="C60" s="15" t="n"/>
      <c r="D60" s="2" t="n"/>
      <c r="I60" s="2" t="n"/>
    </row>
    <row r="61">
      <c r="A61" s="2" t="inlineStr">
        <is>
          <t>Q1 (Apr 15)</t>
        </is>
      </c>
      <c r="B61" s="15">
        <f>B51 * 0.3</f>
        <v/>
      </c>
      <c r="C61" s="15">
        <f>MAX(0, B61 - B52)</f>
        <v/>
      </c>
      <c r="D61" s="2" t="n"/>
      <c r="I61" s="2" t="n"/>
    </row>
    <row r="62">
      <c r="A62" s="2" t="inlineStr">
        <is>
          <t>Q2 (Jun 15)</t>
        </is>
      </c>
      <c r="B62" s="15">
        <f>B51 * 0.7</f>
        <v/>
      </c>
      <c r="C62" s="15">
        <f>MAX(0, B62 - B52)</f>
        <v/>
      </c>
      <c r="D62" s="2" t="n"/>
      <c r="I62" s="2" t="n"/>
    </row>
    <row r="63">
      <c r="A63" s="2" t="inlineStr">
        <is>
          <t>Q3 (Sep 15)</t>
        </is>
      </c>
      <c r="B63" s="15">
        <f>B51 * 0.7</f>
        <v/>
      </c>
      <c r="C63" s="15">
        <f>MAX(0, B63 - B52)</f>
        <v/>
      </c>
      <c r="D63" s="2" t="n"/>
      <c r="I63" s="2" t="n"/>
    </row>
    <row r="64">
      <c r="A64" s="2" t="inlineStr">
        <is>
          <t>Q4 (Jan 15)</t>
        </is>
      </c>
      <c r="B64" s="15">
        <f>B51 * 1.0</f>
        <v/>
      </c>
      <c r="C64" s="15">
        <f>MAX(0, B64 - B52)</f>
        <v/>
      </c>
      <c r="D64" s="2" t="n"/>
      <c r="I64" s="2" t="n"/>
    </row>
  </sheetData>
  <dataValidations count="1">
    <dataValidation sqref="B2" showDropDown="0" showInputMessage="0" showErrorMessage="1" allowBlank="0" type="list">
      <formula1>"Single,MFJ,MFS,HoH"</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22" customWidth="1" min="3" max="3"/>
    <col width="18" customWidth="1" min="4" max="4"/>
    <col width="17" customWidth="1" min="5" max="5"/>
  </cols>
  <sheetData>
    <row r="1">
      <c r="A1" s="1" t="inlineStr">
        <is>
          <t>Quarter</t>
        </is>
      </c>
      <c r="B1" s="1" t="inlineStr">
        <is>
          <t>Broker</t>
        </is>
      </c>
      <c r="C1" s="1" t="inlineStr">
        <is>
          <t>Dividends &amp; Interest</t>
        </is>
      </c>
      <c r="D1" s="1" t="inlineStr">
        <is>
          <t>Short-Term Gains</t>
        </is>
      </c>
      <c r="E1" s="1" t="inlineStr">
        <is>
          <t>Long-Term Gains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8" customWidth="1" min="2" max="2"/>
    <col width="20" customWidth="1" min="3" max="3"/>
    <col width="19" customWidth="1" min="4" max="4"/>
    <col width="18" customWidth="1" min="5" max="5"/>
    <col width="17" customWidth="1" min="6" max="6"/>
    <col width="14" customWidth="1" min="7" max="7"/>
  </cols>
  <sheetData>
    <row r="1">
      <c r="A1" s="1" t="inlineStr">
        <is>
          <t>Date</t>
        </is>
      </c>
      <c r="B1" s="1" t="inlineStr">
        <is>
          <t>Gross W-2 Income</t>
        </is>
      </c>
      <c r="C1" s="1" t="inlineStr">
        <is>
          <t>Pre-tax Deductions</t>
        </is>
      </c>
      <c r="D1" s="1" t="inlineStr">
        <is>
          <t>HSA Contributions</t>
        </is>
      </c>
      <c r="E1" s="1" t="inlineStr">
        <is>
          <t>Fed Tax Withheld</t>
        </is>
      </c>
      <c r="F1" s="1" t="inlineStr">
        <is>
          <t>CA Tax Withheld</t>
        </is>
      </c>
      <c r="G1" s="1" t="inlineStr">
        <is>
          <t>FICA/Med/SDI</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8" customWidth="1" min="1" max="1"/>
    <col width="12" customWidth="1" min="2" max="2"/>
    <col width="16" customWidth="1" min="3" max="3"/>
    <col width="15" customWidth="1" min="4" max="4"/>
    <col width="20" customWidth="1" min="5" max="5"/>
    <col width="20" customWidth="1" min="6" max="6"/>
    <col width="20" customWidth="1" min="7" max="7"/>
  </cols>
  <sheetData>
    <row r="1">
      <c r="A1" s="1" t="inlineStr">
        <is>
          <t>Table A: Federal Brackets (Ordinary Income)</t>
        </is>
      </c>
      <c r="B1" s="1" t="n"/>
      <c r="C1" s="1" t="n"/>
      <c r="D1" s="1" t="n"/>
      <c r="E1" s="1" t="n"/>
      <c r="F1" s="1" t="n"/>
      <c r="G1" s="1" t="n"/>
    </row>
    <row r="2">
      <c r="A2" t="inlineStr">
        <is>
          <t>Year</t>
        </is>
      </c>
      <c r="B2" t="inlineStr">
        <is>
          <t>Status</t>
        </is>
      </c>
      <c r="C2" t="inlineStr">
        <is>
          <t>Bracket Floor</t>
        </is>
      </c>
      <c r="D2" t="inlineStr">
        <is>
          <t>Base Tax</t>
        </is>
      </c>
      <c r="E2" t="inlineStr">
        <is>
          <t>Marginal Rate</t>
        </is>
      </c>
      <c r="F2" t="inlineStr">
        <is>
          <t>Standard Deduction</t>
        </is>
      </c>
    </row>
    <row r="3">
      <c r="A3" t="n">
        <v>2025</v>
      </c>
      <c r="B3" t="inlineStr">
        <is>
          <t>Single</t>
        </is>
      </c>
      <c r="C3" t="n">
        <v>0</v>
      </c>
      <c r="D3" t="n">
        <v>0</v>
      </c>
      <c r="E3" t="n">
        <v>0.1</v>
      </c>
      <c r="F3" t="n">
        <v>15000</v>
      </c>
    </row>
    <row r="4">
      <c r="A4" t="n">
        <v>2025</v>
      </c>
      <c r="B4" t="inlineStr">
        <is>
          <t>Single</t>
        </is>
      </c>
      <c r="C4" t="n">
        <v>11925</v>
      </c>
      <c r="D4" t="n">
        <v>1192.5</v>
      </c>
      <c r="E4" t="n">
        <v>0.12</v>
      </c>
      <c r="F4" t="n">
        <v>15000</v>
      </c>
    </row>
    <row r="5">
      <c r="A5" t="n">
        <v>2025</v>
      </c>
      <c r="B5" t="inlineStr">
        <is>
          <t>Single</t>
        </is>
      </c>
      <c r="C5" t="n">
        <v>48475</v>
      </c>
      <c r="D5" t="n">
        <v>5578.5</v>
      </c>
      <c r="E5" t="n">
        <v>0.22</v>
      </c>
      <c r="F5" t="n">
        <v>15000</v>
      </c>
    </row>
    <row r="6">
      <c r="A6" t="n">
        <v>2025</v>
      </c>
      <c r="B6" t="inlineStr">
        <is>
          <t>Single</t>
        </is>
      </c>
      <c r="C6" t="n">
        <v>103350</v>
      </c>
      <c r="D6" t="n">
        <v>17651</v>
      </c>
      <c r="E6" t="n">
        <v>0.24</v>
      </c>
      <c r="F6" t="n">
        <v>15000</v>
      </c>
    </row>
    <row r="7">
      <c r="A7" t="n">
        <v>2025</v>
      </c>
      <c r="B7" t="inlineStr">
        <is>
          <t>Single</t>
        </is>
      </c>
      <c r="C7" t="n">
        <v>197300</v>
      </c>
      <c r="D7" t="n">
        <v>40199</v>
      </c>
      <c r="E7" t="n">
        <v>0.32</v>
      </c>
      <c r="F7" t="n">
        <v>15000</v>
      </c>
    </row>
    <row r="8">
      <c r="A8" t="n">
        <v>2025</v>
      </c>
      <c r="B8" t="inlineStr">
        <is>
          <t>Single</t>
        </is>
      </c>
      <c r="C8" t="n">
        <v>250525</v>
      </c>
      <c r="D8" t="n">
        <v>57231</v>
      </c>
      <c r="E8" t="n">
        <v>0.35</v>
      </c>
      <c r="F8" t="n">
        <v>15000</v>
      </c>
    </row>
    <row r="9">
      <c r="A9" t="n">
        <v>2025</v>
      </c>
      <c r="B9" t="inlineStr">
        <is>
          <t>Single</t>
        </is>
      </c>
      <c r="C9" t="n">
        <v>626350</v>
      </c>
      <c r="D9" t="n">
        <v>188770</v>
      </c>
      <c r="E9" t="n">
        <v>0.37</v>
      </c>
      <c r="F9" t="n">
        <v>15000</v>
      </c>
    </row>
    <row r="10">
      <c r="A10" t="n">
        <v>2025</v>
      </c>
      <c r="B10" t="inlineStr">
        <is>
          <t>MFJ</t>
        </is>
      </c>
      <c r="C10" t="n">
        <v>0</v>
      </c>
      <c r="D10" t="n">
        <v>0</v>
      </c>
      <c r="E10" t="n">
        <v>0.1</v>
      </c>
      <c r="F10" t="n">
        <v>30000</v>
      </c>
    </row>
    <row r="11">
      <c r="A11" t="n">
        <v>2025</v>
      </c>
      <c r="B11" t="inlineStr">
        <is>
          <t>MFJ</t>
        </is>
      </c>
      <c r="C11" t="n">
        <v>23850</v>
      </c>
      <c r="D11" t="n">
        <v>2385</v>
      </c>
      <c r="E11" t="n">
        <v>0.12</v>
      </c>
      <c r="F11" t="n">
        <v>30000</v>
      </c>
    </row>
    <row r="12">
      <c r="A12" t="n">
        <v>2025</v>
      </c>
      <c r="B12" t="inlineStr">
        <is>
          <t>MFJ</t>
        </is>
      </c>
      <c r="C12" t="n">
        <v>96950</v>
      </c>
      <c r="D12" t="n">
        <v>11157</v>
      </c>
      <c r="E12" t="n">
        <v>0.22</v>
      </c>
      <c r="F12" t="n">
        <v>30000</v>
      </c>
    </row>
    <row r="13">
      <c r="A13" t="n">
        <v>2025</v>
      </c>
      <c r="B13" t="inlineStr">
        <is>
          <t>MFJ</t>
        </is>
      </c>
      <c r="C13" t="n">
        <v>206700</v>
      </c>
      <c r="D13" t="n">
        <v>35302</v>
      </c>
      <c r="E13" t="n">
        <v>0.24</v>
      </c>
      <c r="F13" t="n">
        <v>30000</v>
      </c>
    </row>
    <row r="14">
      <c r="A14" t="n">
        <v>2025</v>
      </c>
      <c r="B14" t="inlineStr">
        <is>
          <t>MFJ</t>
        </is>
      </c>
      <c r="C14" t="n">
        <v>394600</v>
      </c>
      <c r="D14" t="n">
        <v>80398</v>
      </c>
      <c r="E14" t="n">
        <v>0.32</v>
      </c>
      <c r="F14" t="n">
        <v>30000</v>
      </c>
    </row>
    <row r="15">
      <c r="A15" t="n">
        <v>2025</v>
      </c>
      <c r="B15" t="inlineStr">
        <is>
          <t>MFJ</t>
        </is>
      </c>
      <c r="C15" t="n">
        <v>501050</v>
      </c>
      <c r="D15" t="n">
        <v>114462</v>
      </c>
      <c r="E15" t="n">
        <v>0.35</v>
      </c>
      <c r="F15" t="n">
        <v>30000</v>
      </c>
    </row>
    <row r="16">
      <c r="A16" t="n">
        <v>2025</v>
      </c>
      <c r="B16" t="inlineStr">
        <is>
          <t>MFJ</t>
        </is>
      </c>
      <c r="C16" t="n">
        <v>751600</v>
      </c>
      <c r="D16" t="n">
        <v>202154.5</v>
      </c>
      <c r="E16" t="n">
        <v>0.37</v>
      </c>
      <c r="F16" t="n">
        <v>30000</v>
      </c>
    </row>
    <row r="17">
      <c r="A17" t="n">
        <v>2025</v>
      </c>
      <c r="B17" t="inlineStr">
        <is>
          <t>MFS</t>
        </is>
      </c>
      <c r="C17" t="n">
        <v>0</v>
      </c>
      <c r="D17" t="n">
        <v>0</v>
      </c>
      <c r="E17" t="n">
        <v>0.1</v>
      </c>
      <c r="F17" t="n">
        <v>15000</v>
      </c>
    </row>
    <row r="18">
      <c r="A18" t="n">
        <v>2025</v>
      </c>
      <c r="B18" t="inlineStr">
        <is>
          <t>MFS</t>
        </is>
      </c>
      <c r="C18" t="n">
        <v>11925</v>
      </c>
      <c r="D18" t="n">
        <v>1192.5</v>
      </c>
      <c r="E18" t="n">
        <v>0.12</v>
      </c>
      <c r="F18" t="n">
        <v>15000</v>
      </c>
    </row>
    <row r="19">
      <c r="A19" t="n">
        <v>2025</v>
      </c>
      <c r="B19" t="inlineStr">
        <is>
          <t>MFS</t>
        </is>
      </c>
      <c r="C19" t="n">
        <v>48475</v>
      </c>
      <c r="D19" t="n">
        <v>5578.5</v>
      </c>
      <c r="E19" t="n">
        <v>0.22</v>
      </c>
      <c r="F19" t="n">
        <v>15000</v>
      </c>
    </row>
    <row r="20">
      <c r="A20" t="n">
        <v>2025</v>
      </c>
      <c r="B20" t="inlineStr">
        <is>
          <t>MFS</t>
        </is>
      </c>
      <c r="C20" t="n">
        <v>103350</v>
      </c>
      <c r="D20" t="n">
        <v>17651</v>
      </c>
      <c r="E20" t="n">
        <v>0.24</v>
      </c>
      <c r="F20" t="n">
        <v>15000</v>
      </c>
    </row>
    <row r="21">
      <c r="A21" t="n">
        <v>2025</v>
      </c>
      <c r="B21" t="inlineStr">
        <is>
          <t>MFS</t>
        </is>
      </c>
      <c r="C21" t="n">
        <v>197300</v>
      </c>
      <c r="D21" t="n">
        <v>40199</v>
      </c>
      <c r="E21" t="n">
        <v>0.32</v>
      </c>
      <c r="F21" t="n">
        <v>15000</v>
      </c>
    </row>
    <row r="22">
      <c r="A22" t="n">
        <v>2025</v>
      </c>
      <c r="B22" t="inlineStr">
        <is>
          <t>MFS</t>
        </is>
      </c>
      <c r="C22" t="n">
        <v>250525</v>
      </c>
      <c r="D22" t="n">
        <v>57231</v>
      </c>
      <c r="E22" t="n">
        <v>0.35</v>
      </c>
      <c r="F22" t="n">
        <v>15000</v>
      </c>
    </row>
    <row r="23">
      <c r="A23" t="n">
        <v>2025</v>
      </c>
      <c r="B23" t="inlineStr">
        <is>
          <t>MFS</t>
        </is>
      </c>
      <c r="C23" t="n">
        <v>375800</v>
      </c>
      <c r="D23" t="n">
        <v>101077.25</v>
      </c>
      <c r="E23" t="n">
        <v>0.37</v>
      </c>
      <c r="F23" t="n">
        <v>15000</v>
      </c>
    </row>
    <row r="24">
      <c r="A24" t="n">
        <v>2025</v>
      </c>
      <c r="B24" t="inlineStr">
        <is>
          <t>HoH</t>
        </is>
      </c>
      <c r="C24" t="n">
        <v>0</v>
      </c>
      <c r="D24" t="n">
        <v>0</v>
      </c>
      <c r="E24" t="n">
        <v>0.1</v>
      </c>
      <c r="F24" t="n">
        <v>22500</v>
      </c>
    </row>
    <row r="25">
      <c r="A25" t="n">
        <v>2025</v>
      </c>
      <c r="B25" t="inlineStr">
        <is>
          <t>HoH</t>
        </is>
      </c>
      <c r="C25" t="n">
        <v>17000</v>
      </c>
      <c r="D25" t="n">
        <v>1700</v>
      </c>
      <c r="E25" t="n">
        <v>0.12</v>
      </c>
      <c r="F25" t="n">
        <v>22500</v>
      </c>
    </row>
    <row r="26">
      <c r="A26" t="n">
        <v>2025</v>
      </c>
      <c r="B26" t="inlineStr">
        <is>
          <t>HoH</t>
        </is>
      </c>
      <c r="C26" t="n">
        <v>64850</v>
      </c>
      <c r="D26" t="n">
        <v>7442</v>
      </c>
      <c r="E26" t="n">
        <v>0.22</v>
      </c>
      <c r="F26" t="n">
        <v>22500</v>
      </c>
    </row>
    <row r="27">
      <c r="A27" t="n">
        <v>2025</v>
      </c>
      <c r="B27" t="inlineStr">
        <is>
          <t>HoH</t>
        </is>
      </c>
      <c r="C27" t="n">
        <v>103350</v>
      </c>
      <c r="D27" t="n">
        <v>15912</v>
      </c>
      <c r="E27" t="n">
        <v>0.24</v>
      </c>
      <c r="F27" t="n">
        <v>22500</v>
      </c>
    </row>
    <row r="28">
      <c r="A28" t="n">
        <v>2025</v>
      </c>
      <c r="B28" t="inlineStr">
        <is>
          <t>HoH</t>
        </is>
      </c>
      <c r="C28" t="n">
        <v>197300</v>
      </c>
      <c r="D28" t="n">
        <v>38460</v>
      </c>
      <c r="E28" t="n">
        <v>0.32</v>
      </c>
      <c r="F28" t="n">
        <v>22500</v>
      </c>
    </row>
    <row r="29">
      <c r="A29" t="n">
        <v>2025</v>
      </c>
      <c r="B29" t="inlineStr">
        <is>
          <t>HoH</t>
        </is>
      </c>
      <c r="C29" t="n">
        <v>250500</v>
      </c>
      <c r="D29" t="n">
        <v>55484</v>
      </c>
      <c r="E29" t="n">
        <v>0.35</v>
      </c>
      <c r="F29" t="n">
        <v>22500</v>
      </c>
    </row>
    <row r="30">
      <c r="A30" t="n">
        <v>2025</v>
      </c>
      <c r="B30" t="inlineStr">
        <is>
          <t>HoH</t>
        </is>
      </c>
      <c r="C30" t="n">
        <v>626350</v>
      </c>
      <c r="D30" t="n">
        <v>187031.5</v>
      </c>
      <c r="E30" t="n">
        <v>0.37</v>
      </c>
      <c r="F30" t="n">
        <v>22500</v>
      </c>
    </row>
    <row r="31"/>
    <row r="32">
      <c r="A32" t="inlineStr">
        <is>
          <t>Table B: Federal Capital Gains Brackets</t>
        </is>
      </c>
    </row>
    <row r="33">
      <c r="A33" t="inlineStr">
        <is>
          <t>Year</t>
        </is>
      </c>
      <c r="B33" t="inlineStr">
        <is>
          <t>Status</t>
        </is>
      </c>
      <c r="C33" t="inlineStr">
        <is>
          <t>Bracket Floor</t>
        </is>
      </c>
      <c r="D33" t="inlineStr">
        <is>
          <t>LTCG Rate</t>
        </is>
      </c>
    </row>
    <row r="34">
      <c r="A34" t="n">
        <v>2025</v>
      </c>
      <c r="B34" t="inlineStr">
        <is>
          <t>Single</t>
        </is>
      </c>
      <c r="C34" t="n">
        <v>0</v>
      </c>
      <c r="D34" t="n">
        <v>0</v>
      </c>
    </row>
    <row r="35">
      <c r="A35" t="n">
        <v>2025</v>
      </c>
      <c r="B35" t="inlineStr">
        <is>
          <t>Single</t>
        </is>
      </c>
      <c r="C35" t="n">
        <v>47025</v>
      </c>
      <c r="D35" t="n">
        <v>0.15</v>
      </c>
    </row>
    <row r="36">
      <c r="A36" t="n">
        <v>2025</v>
      </c>
      <c r="B36" t="inlineStr">
        <is>
          <t>Single</t>
        </is>
      </c>
      <c r="C36" t="n">
        <v>518900</v>
      </c>
      <c r="D36" t="n">
        <v>0.2</v>
      </c>
    </row>
    <row r="37">
      <c r="A37" t="n">
        <v>2025</v>
      </c>
      <c r="B37" t="inlineStr">
        <is>
          <t>MFJ</t>
        </is>
      </c>
      <c r="C37" t="n">
        <v>0</v>
      </c>
      <c r="D37" t="n">
        <v>0</v>
      </c>
    </row>
    <row r="38">
      <c r="A38" t="n">
        <v>2025</v>
      </c>
      <c r="B38" t="inlineStr">
        <is>
          <t>MFJ</t>
        </is>
      </c>
      <c r="C38" t="n">
        <v>96700</v>
      </c>
      <c r="D38" t="n">
        <v>0.15</v>
      </c>
    </row>
    <row r="39">
      <c r="A39" t="n">
        <v>2025</v>
      </c>
      <c r="B39" t="inlineStr">
        <is>
          <t>MFJ</t>
        </is>
      </c>
      <c r="C39" t="n">
        <v>600050</v>
      </c>
      <c r="D39" t="n">
        <v>0.2</v>
      </c>
    </row>
    <row r="40">
      <c r="A40" t="n">
        <v>2025</v>
      </c>
      <c r="B40" t="inlineStr">
        <is>
          <t>MFS</t>
        </is>
      </c>
      <c r="C40" t="n">
        <v>0</v>
      </c>
      <c r="D40" t="n">
        <v>0</v>
      </c>
    </row>
    <row r="41">
      <c r="A41" t="n">
        <v>2025</v>
      </c>
      <c r="B41" t="inlineStr">
        <is>
          <t>MFS</t>
        </is>
      </c>
      <c r="C41" t="n">
        <v>48350</v>
      </c>
      <c r="D41" t="n">
        <v>0.15</v>
      </c>
    </row>
    <row r="42">
      <c r="A42" t="n">
        <v>2025</v>
      </c>
      <c r="B42" t="inlineStr">
        <is>
          <t>MFS</t>
        </is>
      </c>
      <c r="C42" t="n">
        <v>300000</v>
      </c>
      <c r="D42" t="n">
        <v>0.2</v>
      </c>
    </row>
    <row r="43">
      <c r="A43" t="n">
        <v>2025</v>
      </c>
      <c r="B43" t="inlineStr">
        <is>
          <t>HoH</t>
        </is>
      </c>
      <c r="C43" t="n">
        <v>0</v>
      </c>
      <c r="D43" t="n">
        <v>0</v>
      </c>
    </row>
    <row r="44">
      <c r="A44" t="n">
        <v>2025</v>
      </c>
      <c r="B44" t="inlineStr">
        <is>
          <t>HoH</t>
        </is>
      </c>
      <c r="C44" t="n">
        <v>64750</v>
      </c>
      <c r="D44" t="n">
        <v>0.15</v>
      </c>
    </row>
    <row r="45">
      <c r="A45" t="n">
        <v>2025</v>
      </c>
      <c r="B45" t="inlineStr">
        <is>
          <t>HoH</t>
        </is>
      </c>
      <c r="C45" t="n">
        <v>566700</v>
      </c>
      <c r="D45" t="n">
        <v>0.2</v>
      </c>
    </row>
    <row r="46"/>
    <row r="47">
      <c r="A47" t="inlineStr">
        <is>
          <t>Table C: California FTB Brackets</t>
        </is>
      </c>
    </row>
    <row r="48">
      <c r="A48" t="inlineStr">
        <is>
          <t>Year</t>
        </is>
      </c>
      <c r="B48" t="inlineStr">
        <is>
          <t>Status</t>
        </is>
      </c>
      <c r="C48" t="inlineStr">
        <is>
          <t>Bracket Floor</t>
        </is>
      </c>
      <c r="D48" t="inlineStr">
        <is>
          <t>Base Tax</t>
        </is>
      </c>
      <c r="E48" t="inlineStr">
        <is>
          <t>Marginal Rate</t>
        </is>
      </c>
      <c r="F48" t="inlineStr">
        <is>
          <t>Standard Deduction</t>
        </is>
      </c>
      <c r="G48" t="inlineStr">
        <is>
          <t>MH Surcharge Floor</t>
        </is>
      </c>
    </row>
    <row r="49">
      <c r="A49" t="n">
        <v>2025</v>
      </c>
      <c r="B49" t="inlineStr">
        <is>
          <t>Single</t>
        </is>
      </c>
      <c r="C49" t="n">
        <v>0</v>
      </c>
      <c r="D49" t="n">
        <v>0</v>
      </c>
      <c r="E49" t="n">
        <v>0.01</v>
      </c>
      <c r="F49" t="n">
        <v>5706</v>
      </c>
      <c r="G49" t="n">
        <v>1000000</v>
      </c>
    </row>
    <row r="50">
      <c r="A50" t="n">
        <v>2025</v>
      </c>
      <c r="B50" t="inlineStr">
        <is>
          <t>Single</t>
        </is>
      </c>
      <c r="C50" t="n">
        <v>11079</v>
      </c>
      <c r="D50" t="n">
        <v>110.79</v>
      </c>
      <c r="E50" t="n">
        <v>0.02</v>
      </c>
      <c r="F50" t="n">
        <v>5706</v>
      </c>
      <c r="G50" t="n">
        <v>1000000</v>
      </c>
    </row>
    <row r="51">
      <c r="A51" t="n">
        <v>2025</v>
      </c>
      <c r="B51" t="inlineStr">
        <is>
          <t>Single</t>
        </is>
      </c>
      <c r="C51" t="n">
        <v>26264</v>
      </c>
      <c r="D51" t="n">
        <v>414.49</v>
      </c>
      <c r="E51" t="n">
        <v>0.04</v>
      </c>
      <c r="F51" t="n">
        <v>5706</v>
      </c>
      <c r="G51" t="n">
        <v>1000000</v>
      </c>
    </row>
    <row r="52">
      <c r="A52" t="n">
        <v>2025</v>
      </c>
      <c r="B52" t="inlineStr">
        <is>
          <t>Single</t>
        </is>
      </c>
      <c r="C52" t="n">
        <v>41452</v>
      </c>
      <c r="D52" t="n">
        <v>1022.01</v>
      </c>
      <c r="E52" t="n">
        <v>0.06</v>
      </c>
      <c r="F52" t="n">
        <v>5706</v>
      </c>
      <c r="G52" t="n">
        <v>1000000</v>
      </c>
    </row>
    <row r="53">
      <c r="A53" t="n">
        <v>2025</v>
      </c>
      <c r="B53" t="inlineStr">
        <is>
          <t>Single</t>
        </is>
      </c>
      <c r="C53" t="n">
        <v>57542</v>
      </c>
      <c r="D53" t="n">
        <v>1987.41</v>
      </c>
      <c r="E53" t="n">
        <v>0.08</v>
      </c>
      <c r="F53" t="n">
        <v>5706</v>
      </c>
      <c r="G53" t="n">
        <v>1000000</v>
      </c>
    </row>
    <row r="54">
      <c r="A54" t="n">
        <v>2025</v>
      </c>
      <c r="B54" t="inlineStr">
        <is>
          <t>Single</t>
        </is>
      </c>
      <c r="C54" t="n">
        <v>72724</v>
      </c>
      <c r="D54" t="n">
        <v>3201.97</v>
      </c>
      <c r="E54" t="n">
        <v>0.093</v>
      </c>
      <c r="F54" t="n">
        <v>5706</v>
      </c>
      <c r="G54" t="n">
        <v>1000000</v>
      </c>
    </row>
    <row r="55">
      <c r="A55" t="n">
        <v>2025</v>
      </c>
      <c r="B55" t="inlineStr">
        <is>
          <t>Single</t>
        </is>
      </c>
      <c r="C55" t="n">
        <v>371479</v>
      </c>
      <c r="D55" t="n">
        <v>31036.19</v>
      </c>
      <c r="E55" t="n">
        <v>0.103</v>
      </c>
      <c r="F55" t="n">
        <v>5706</v>
      </c>
      <c r="G55" t="n">
        <v>1000000</v>
      </c>
    </row>
    <row r="56">
      <c r="A56" t="n">
        <v>2025</v>
      </c>
      <c r="B56" t="inlineStr">
        <is>
          <t>Single</t>
        </is>
      </c>
      <c r="C56" t="n">
        <v>445771</v>
      </c>
      <c r="D56" t="n">
        <v>38688.19</v>
      </c>
      <c r="E56" t="n">
        <v>0.113</v>
      </c>
      <c r="F56" t="n">
        <v>5706</v>
      </c>
      <c r="G56" t="n">
        <v>1000000</v>
      </c>
    </row>
    <row r="57">
      <c r="A57" t="n">
        <v>2025</v>
      </c>
      <c r="B57" t="inlineStr">
        <is>
          <t>Single</t>
        </is>
      </c>
      <c r="C57" t="n">
        <v>742953</v>
      </c>
      <c r="D57" t="n">
        <v>72269.75</v>
      </c>
      <c r="E57" t="n">
        <v>0.123</v>
      </c>
      <c r="F57" t="n">
        <v>5706</v>
      </c>
      <c r="G57" t="n">
        <v>1000000</v>
      </c>
    </row>
    <row r="58">
      <c r="A58" t="n">
        <v>2025</v>
      </c>
      <c r="B58" t="inlineStr">
        <is>
          <t>MFJ</t>
        </is>
      </c>
      <c r="C58" t="n">
        <v>0</v>
      </c>
      <c r="D58" t="n">
        <v>0</v>
      </c>
      <c r="E58" t="n">
        <v>0.01</v>
      </c>
      <c r="F58" t="n">
        <v>11412</v>
      </c>
      <c r="G58" t="n">
        <v>1000000</v>
      </c>
    </row>
    <row r="59">
      <c r="A59" t="n">
        <v>2025</v>
      </c>
      <c r="B59" t="inlineStr">
        <is>
          <t>MFJ</t>
        </is>
      </c>
      <c r="C59" t="n">
        <v>22158</v>
      </c>
      <c r="D59" t="n">
        <v>221.58</v>
      </c>
      <c r="E59" t="n">
        <v>0.02</v>
      </c>
      <c r="F59" t="n">
        <v>11412</v>
      </c>
      <c r="G59" t="n">
        <v>1000000</v>
      </c>
    </row>
    <row r="60">
      <c r="A60" t="n">
        <v>2025</v>
      </c>
      <c r="B60" t="inlineStr">
        <is>
          <t>MFJ</t>
        </is>
      </c>
      <c r="C60" t="n">
        <v>52528</v>
      </c>
      <c r="D60" t="n">
        <v>828.98</v>
      </c>
      <c r="E60" t="n">
        <v>0.04</v>
      </c>
      <c r="F60" t="n">
        <v>11412</v>
      </c>
      <c r="G60" t="n">
        <v>1000000</v>
      </c>
    </row>
    <row r="61">
      <c r="A61" t="n">
        <v>2025</v>
      </c>
      <c r="B61" t="inlineStr">
        <is>
          <t>MFJ</t>
        </is>
      </c>
      <c r="C61" t="n">
        <v>82904</v>
      </c>
      <c r="D61" t="n">
        <v>2044.02</v>
      </c>
      <c r="E61" t="n">
        <v>0.06</v>
      </c>
      <c r="F61" t="n">
        <v>11412</v>
      </c>
      <c r="G61" t="n">
        <v>1000000</v>
      </c>
    </row>
    <row r="62">
      <c r="A62" t="n">
        <v>2025</v>
      </c>
      <c r="B62" t="inlineStr">
        <is>
          <t>MFJ</t>
        </is>
      </c>
      <c r="C62" t="n">
        <v>115084</v>
      </c>
      <c r="D62" t="n">
        <v>3974.82</v>
      </c>
      <c r="E62" t="n">
        <v>0.08</v>
      </c>
      <c r="F62" t="n">
        <v>11412</v>
      </c>
      <c r="G62" t="n">
        <v>1000000</v>
      </c>
    </row>
    <row r="63">
      <c r="A63" t="n">
        <v>2025</v>
      </c>
      <c r="B63" t="inlineStr">
        <is>
          <t>MFJ</t>
        </is>
      </c>
      <c r="C63" t="n">
        <v>145448</v>
      </c>
      <c r="D63" t="n">
        <v>6403.94</v>
      </c>
      <c r="E63" t="n">
        <v>0.093</v>
      </c>
      <c r="F63" t="n">
        <v>11412</v>
      </c>
      <c r="G63" t="n">
        <v>1000000</v>
      </c>
    </row>
    <row r="64">
      <c r="A64" t="n">
        <v>2025</v>
      </c>
      <c r="B64" t="inlineStr">
        <is>
          <t>MFJ</t>
        </is>
      </c>
      <c r="C64" t="n">
        <v>742958</v>
      </c>
      <c r="D64" t="n">
        <v>61972.37</v>
      </c>
      <c r="E64" t="n">
        <v>0.103</v>
      </c>
      <c r="F64" t="n">
        <v>11412</v>
      </c>
      <c r="G64" t="n">
        <v>1000000</v>
      </c>
    </row>
    <row r="65">
      <c r="A65" t="n">
        <v>2025</v>
      </c>
      <c r="B65" t="inlineStr">
        <is>
          <t>MFJ</t>
        </is>
      </c>
      <c r="C65" t="n">
        <v>891542</v>
      </c>
      <c r="D65" t="n">
        <v>77276.52</v>
      </c>
      <c r="E65" t="n">
        <v>0.113</v>
      </c>
      <c r="F65" t="n">
        <v>11412</v>
      </c>
      <c r="G65" t="n">
        <v>1000000</v>
      </c>
    </row>
    <row r="66">
      <c r="A66" t="n">
        <v>2025</v>
      </c>
      <c r="B66" t="inlineStr">
        <is>
          <t>MFJ</t>
        </is>
      </c>
      <c r="C66" t="n">
        <v>1485906</v>
      </c>
      <c r="D66" t="n">
        <v>144439.65</v>
      </c>
      <c r="E66" t="n">
        <v>0.123</v>
      </c>
      <c r="F66" t="n">
        <v>11412</v>
      </c>
      <c r="G66" t="n">
        <v>1000000</v>
      </c>
    </row>
    <row r="67">
      <c r="A67" t="n">
        <v>2025</v>
      </c>
      <c r="B67" t="inlineStr">
        <is>
          <t>HoH</t>
        </is>
      </c>
      <c r="C67" t="n">
        <v>0</v>
      </c>
      <c r="D67" t="n">
        <v>0</v>
      </c>
      <c r="E67" t="n">
        <v>0.01</v>
      </c>
      <c r="F67" t="n">
        <v>11412</v>
      </c>
      <c r="G67" t="n">
        <v>1000000</v>
      </c>
    </row>
    <row r="68">
      <c r="A68" t="n">
        <v>2025</v>
      </c>
      <c r="B68" t="inlineStr">
        <is>
          <t>HoH</t>
        </is>
      </c>
      <c r="C68" t="n">
        <v>22173</v>
      </c>
      <c r="D68" t="n">
        <v>221.73</v>
      </c>
      <c r="E68" t="n">
        <v>0.02</v>
      </c>
      <c r="F68" t="n">
        <v>11412</v>
      </c>
      <c r="G68" t="n">
        <v>1000000</v>
      </c>
    </row>
    <row r="69">
      <c r="A69" t="n">
        <v>2025</v>
      </c>
      <c r="B69" t="inlineStr">
        <is>
          <t>HoH</t>
        </is>
      </c>
      <c r="C69" t="n">
        <v>52530</v>
      </c>
      <c r="D69" t="n">
        <v>828.87</v>
      </c>
      <c r="E69" t="n">
        <v>0.04</v>
      </c>
      <c r="F69" t="n">
        <v>11412</v>
      </c>
      <c r="G69" t="n">
        <v>1000000</v>
      </c>
    </row>
    <row r="70">
      <c r="A70" t="n">
        <v>2025</v>
      </c>
      <c r="B70" t="inlineStr">
        <is>
          <t>HoH</t>
        </is>
      </c>
      <c r="C70" t="n">
        <v>67716</v>
      </c>
      <c r="D70" t="n">
        <v>1436.31</v>
      </c>
      <c r="E70" t="n">
        <v>0.06</v>
      </c>
      <c r="F70" t="n">
        <v>11412</v>
      </c>
      <c r="G70" t="n">
        <v>1000000</v>
      </c>
    </row>
    <row r="71">
      <c r="A71" t="n">
        <v>2025</v>
      </c>
      <c r="B71" t="inlineStr">
        <is>
          <t>HoH</t>
        </is>
      </c>
      <c r="C71" t="n">
        <v>83804</v>
      </c>
      <c r="D71" t="n">
        <v>2401.59</v>
      </c>
      <c r="E71" t="n">
        <v>0.08</v>
      </c>
      <c r="F71" t="n">
        <v>11412</v>
      </c>
      <c r="G71" t="n">
        <v>1000000</v>
      </c>
    </row>
    <row r="72">
      <c r="A72" t="n">
        <v>2025</v>
      </c>
      <c r="B72" t="inlineStr">
        <is>
          <t>HoH</t>
        </is>
      </c>
      <c r="C72" t="n">
        <v>98990</v>
      </c>
      <c r="D72" t="n">
        <v>3616.47</v>
      </c>
      <c r="E72" t="n">
        <v>0.093</v>
      </c>
      <c r="F72" t="n">
        <v>11412</v>
      </c>
      <c r="G72" t="n">
        <v>1000000</v>
      </c>
    </row>
    <row r="73">
      <c r="A73" t="n">
        <v>2025</v>
      </c>
      <c r="B73" t="inlineStr">
        <is>
          <t>HoH</t>
        </is>
      </c>
      <c r="C73" t="n">
        <v>505208</v>
      </c>
      <c r="D73" t="n">
        <v>41394.74</v>
      </c>
      <c r="E73" t="n">
        <v>0.103</v>
      </c>
      <c r="F73" t="n">
        <v>11412</v>
      </c>
      <c r="G73" t="n">
        <v>1000000</v>
      </c>
    </row>
    <row r="74">
      <c r="A74" t="n">
        <v>2025</v>
      </c>
      <c r="B74" t="inlineStr">
        <is>
          <t>HoH</t>
        </is>
      </c>
      <c r="C74" t="n">
        <v>606251</v>
      </c>
      <c r="D74" t="n">
        <v>51802.17</v>
      </c>
      <c r="E74" t="n">
        <v>0.113</v>
      </c>
      <c r="F74" t="n">
        <v>11412</v>
      </c>
      <c r="G74" t="n">
        <v>1000000</v>
      </c>
    </row>
    <row r="75">
      <c r="A75" t="n">
        <v>2025</v>
      </c>
      <c r="B75" t="inlineStr">
        <is>
          <t>HoH</t>
        </is>
      </c>
      <c r="C75" t="n">
        <v>1010417</v>
      </c>
      <c r="D75" t="n">
        <v>97472.92999999999</v>
      </c>
      <c r="E75" t="n">
        <v>0.123</v>
      </c>
      <c r="F75" t="n">
        <v>11412</v>
      </c>
      <c r="G75" t="n">
        <v>1000000</v>
      </c>
    </row>
    <row r="76"/>
    <row r="77">
      <c r="A77" t="inlineStr">
        <is>
          <t>Table D: Surtaxes &amp; Phaseouts</t>
        </is>
      </c>
    </row>
    <row r="78">
      <c r="A78" t="inlineStr">
        <is>
          <t>Year</t>
        </is>
      </c>
      <c r="B78" t="inlineStr">
        <is>
          <t>Status</t>
        </is>
      </c>
      <c r="C78" t="inlineStr">
        <is>
          <t>NIIT Threshold</t>
        </is>
      </c>
      <c r="D78" t="inlineStr">
        <is>
          <t>Addl Medicare</t>
        </is>
      </c>
      <c r="E78" t="inlineStr">
        <is>
          <t>CTC Phaseout Start</t>
        </is>
      </c>
    </row>
    <row r="79">
      <c r="A79" t="n">
        <v>2025</v>
      </c>
      <c r="B79" t="inlineStr">
        <is>
          <t>Single</t>
        </is>
      </c>
      <c r="C79" t="n">
        <v>200000</v>
      </c>
      <c r="D79" t="n">
        <v>200000</v>
      </c>
      <c r="E79" t="n">
        <v>200000</v>
      </c>
    </row>
    <row r="80">
      <c r="A80" t="n">
        <v>2025</v>
      </c>
      <c r="B80" t="inlineStr">
        <is>
          <t>MFJ</t>
        </is>
      </c>
      <c r="C80" t="n">
        <v>250000</v>
      </c>
      <c r="D80" t="n">
        <v>250000</v>
      </c>
      <c r="E80" t="n">
        <v>400000</v>
      </c>
    </row>
    <row r="81">
      <c r="A81" t="n">
        <v>2025</v>
      </c>
      <c r="B81" t="inlineStr">
        <is>
          <t>MFS</t>
        </is>
      </c>
      <c r="C81" t="n">
        <v>125000</v>
      </c>
      <c r="D81" t="n">
        <v>125000</v>
      </c>
      <c r="E81" t="n">
        <v>200000</v>
      </c>
    </row>
    <row r="82">
      <c r="A82" t="n">
        <v>2025</v>
      </c>
      <c r="B82" t="inlineStr">
        <is>
          <t>HoH</t>
        </is>
      </c>
      <c r="C82" t="n">
        <v>200000</v>
      </c>
      <c r="D82" t="n">
        <v>200000</v>
      </c>
      <c r="E82" t="n">
        <v>200000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28" customWidth="1" min="1" max="1"/>
  </cols>
  <sheetData>
    <row r="1">
      <c r="A1" s="1" t="inlineStr">
        <is>
          <t>PROMPT INSTRUCTIONS</t>
        </is>
      </c>
    </row>
    <row r="2">
      <c r="A2" t="inlineStr">
        <is>
          <t>Copy and paste the text below into an AI (like Gemini, ChatGPT, or Claude) along with your paystubs or brokerage statements to automatically extract the data for this workbook.</t>
        </is>
      </c>
    </row>
    <row r="3">
      <c r="A3" t="inlineStr"/>
    </row>
    <row r="4" ht="600" customHeight="1">
      <c r="A4" s="18" t="inlineStr">
        <is>
          <t># Role &amp; Objective
Your purpose is to parse unstructured text, images, or PDFs of paystubs and brokerage statements provided by the user, and format the extracted data into precise, tab-separated tables. 
These tables are designed to be copied and pasted directly into a master Tax Projection Excel workbook. Do not add any conversational filler, introductory text, or concluding remarks. Output **only** the requested tables unless I ask you a question.
Do not reference any data inside your project directory, if one exists.  Don't store state outside the context window.  You are just a function which translates provided uploaded inputs into outputs.
---
# Formatting Rules
1. **Output Format**: Use a Markdown table format. Ensure that columns align correctly. Do not use comma-separated values (CSV). Use numerical formats without commas or dollar signs (e.g., use `1500.50` instead of `$1,500.50`). 
2. **Missing Values**: If a value is not present on the document, output `0`. Do not leave it blank or use "N/A".
3. **Detection**: Automatically detect whether the provided document is a Paystub or a Brokerage Statement and output the corresponding table. If the user provides both, output both under their respective headers: `### Wage Snapshots` and `### Investment Income Snapshots`.
---
# Schema 1: Wage Snapshots (Paystubs)
If the document is a paystub, RSU release confirmation, or W-2 income event, extract the data into the following columns exactly as defined:
| Date | Gross W-2 Income | Pre-tax Deductions | HSA Contributions | Fed Tax Withheld | CA Tax Withheld | FICA/Med/SDI |
|---|---|---|---|---|---|---|
**Extraction Logic for Wage Snapshots:**
*   **Date**: The date of the paystub or vest event (Format: MM/DD/YYYY).
*   **Gross W-2 Income**: The **Year-to-Date (YTD)** gross pay, combining base salary, bonus payout, and/or the total taxable value of RSU vests up to this date.
*   **Pre-tax Deductions**: The sum of all **YTD** pre-tax deductions (e.g., Traditional 401k, FSA, Health/Dental/Vision premiums). **CRITICAL IMPERATIVE**: Do **not** include HSA contributions in this sum.
*   **HSA Contributions**: The **YTD** pre-tax HSA contribution amount. (This must be isolated because California does not recognize HSA deductions).
*   **Fed Tax Withheld**: The **YTD** Federal Income Tax withheld.
*   **CA Tax Withheld**: The **YTD** California State Income Tax withheld.
*   **FICA/Med/SDI**: The sum of **YTD** Social Security (OASDI), Medicare, and CA State Disability Insurance (CA SDI) withheld.
---
# Schema 2: Investment Income Snapshots (Brokerage Statements)
If the document is a 1099-DIV, 1099-B, or a quarterly consolidated brokerage statement, extract the data into the following columns exactly as defined:
| Quarter | Entity | Dividends &amp; Interest | Short-Term Gains | Long-Term Gains |
|---|---|---|---|---|
**Extraction Logic for Investment Income Snapshots:**
*   **Quarter**: The most recent quarter the statement covers (e.g., `Q1`, `Q2`, `Q3`, `Q4`, or `Annual`). 
*   **Entity**: The name of the brokerage or issuing institution (e.g., `Schwab`, `E-Trade`, `Fidelity`).
*   **Dividends &amp; Interest**: **Year-to-Date (YTD)** total of all dividends (Qualified + Ordinary) and all taxable interest. Combine these into a single sum.
*   **Short-Term Gains**: **Year-to-Date (YTD)** net short-term capital gains realized.
*   **Long-Term Gains**: **Year-to-Date (YTD)** net long-term capital gains realized.
THESE NUMBERS ARE VERY IMPORTANT.  CHECK YOUR WORK TWICE.  DO NOT HALLUCINATE
DO NOT REFERENCE INPUT DATA OUTSIDE OF YOUR THREAD CONTEXT WINDOW.  TREAT YOURSELF AS A FUNCTION WHICH TRANSLATES UPLOADED INPUTS INTO OUTPUTS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2026-04-09T02:52:03Z</dcterms:created>
  <dcterms:modified xsi:type="dcterms:W3CDTF">2026-04-09T02:52:03Z</dcterms:modified>
</cp:coreProperties>
</file>