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B16" authorId="0" shapeId="0">
      <text>
        <t>Blunt Quarterly Projection: Projects Dividends/Interest for the remainder of the year based on the current quarter (derived from Status Date). Assumes steady-state quarterly receipts.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(Optional) Enter your 'Prior Year Tax' liability in the Dashboard to enable Safe Harbor targets.</t>
        </is>
      </c>
    </row>
    <row r="6">
      <c r="A6" t="inlineStr">
        <is>
          <t>Step 4: (Optional) Enter your estimated 'Itemized Deductions' if you expect to exceed the Standard Deduction.</t>
        </is>
      </c>
    </row>
    <row r="7">
      <c r="A7" t="inlineStr">
        <is>
          <t>Step 5: Check the 'PAYMENT ACTION CENTER' on the Dashboard for immediate payment requirements.</t>
        </is>
      </c>
    </row>
    <row r="8">
      <c r="A8" t="inlineStr"/>
    </row>
    <row r="9">
      <c r="A9" s="1" t="inlineStr">
        <is>
          <t>Important Notes</t>
        </is>
      </c>
    </row>
    <row r="10">
      <c r="A10" t="inlineStr">
        <is>
          <t>1. Investment Income: Dividends and Interest are automatically projected for the full year based on the current quarter. Capital Gains (Short/Long term) are treated as one-off events and are NOT projected.</t>
        </is>
      </c>
    </row>
    <row r="11">
      <c r="A11" t="inlineStr">
        <is>
          <t>2. HSA (California): HSA contributions are automatically added back to CA state income as they are not deductible in California.</t>
        </is>
      </c>
    </row>
    <row r="12">
      <c r="A12" t="inlineStr">
        <is>
          <t>3. Income Projections: The engine pro-rates your remaining annual income based on the days elapsed since Jan 1. You can adjust these projections by entering values into 'Manual Income Offset' or 'Future Income Weight' in Section 1.5 of the Dashboard.</t>
        </is>
      </c>
    </row>
    <row r="13">
      <c r="A13"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5"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5"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6" t="n">
        <v>1</v>
      </c>
      <c r="D13" s="2" t="n"/>
      <c r="I13" s="9" t="n"/>
      <c r="J13" s="10" t="n"/>
    </row>
    <row r="14">
      <c r="A14" s="2" t="inlineStr">
        <is>
          <t>Remaining Year Wage Income</t>
        </is>
      </c>
      <c r="B14" s="15">
        <f>IF(MAX('Wage Snapshots'!A:A)=0, 0, (SUM('Wage Snapshots'!B:B) / MAX(1, MAX('Wage Snapshots'!A:A) - DATE(B8,1,1))) * (DATE(B8,12,31) - MAX('Wage Snapshots'!A:A)))</f>
        <v/>
      </c>
      <c r="D14" s="2" t="n"/>
      <c r="I14" s="2" t="n"/>
    </row>
    <row r="15">
      <c r="A15" s="2" t="inlineStr">
        <is>
          <t>Remaining Year Deductions</t>
        </is>
      </c>
      <c r="B15" s="15">
        <f>IF(MAX('Wage Snapshots'!A:A)=0, 0, (SUM('Wage Snapshots'!C:D) / MAX(1, MAX('Wage Snapshots'!A:A) - DATE(B8,1,1))) * (DATE(B8,12,31) - MAX('Wage Snapshots'!A:A)))</f>
        <v/>
      </c>
      <c r="D15" s="2" t="n"/>
      <c r="I15" s="1" t="inlineStr">
        <is>
          <t>TAX DIAGNOSTICS</t>
        </is>
      </c>
    </row>
    <row r="16">
      <c r="A16" s="2" t="inlineStr">
        <is>
          <t>Remaining Year Interest and Dividends</t>
        </is>
      </c>
      <c r="B16" s="15">
        <f>SUM('Investment Income Snapshots'!C:C) * ( (4 / ROUNDUP(MONTH(B9)/3, 0)) - 1 )</f>
        <v/>
      </c>
      <c r="D16" s="2" t="n"/>
      <c r="I16" s="2" t="inlineStr">
        <is>
          <t>Fed Target Method:</t>
        </is>
      </c>
      <c r="J16">
        <f>IF(B4=0, "90% Forecast", IF(B46*0.9 &lt; B4*1.1, "90% Forecast", "110% Safe Harbor"))</f>
        <v/>
      </c>
    </row>
    <row r="17">
      <c r="A17" s="1" t="inlineStr">
        <is>
          <t>Consolidated Income Projection</t>
        </is>
      </c>
      <c r="B17" s="15" t="n"/>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7">
        <f>B46 / MAX(1, B23)</f>
        <v/>
      </c>
    </row>
    <row r="19">
      <c r="A19" s="2" t="inlineStr">
        <is>
          <t>Federal W-2 State Wages</t>
        </is>
      </c>
      <c r="B19" s="15">
        <f>B18 - SUM('Wage Snapshots'!C:D) - (B15 * B13)</f>
        <v/>
      </c>
      <c r="D19" s="2" t="n"/>
      <c r="I19" s="2" t="inlineStr">
        <is>
          <t>Effective CA Rate:</t>
        </is>
      </c>
      <c r="J19" s="17">
        <f>B37 / MAX(1, B23)</f>
        <v/>
      </c>
    </row>
    <row r="20">
      <c r="A20" s="2" t="inlineStr">
        <is>
          <t>CA W-2 State Wages</t>
        </is>
      </c>
      <c r="B20" s="15">
        <f>B18 - SUM('Wage Snapshots'!C:C) - (SUM('Wage Snapshots'!C:C)/MAX(1, SUM('Wage Snapshots'!C:D))) * B15 * B13</f>
        <v/>
      </c>
      <c r="D20" s="2" t="n"/>
      <c r="I20" s="2" t="inlineStr">
        <is>
          <t>Marginal Fed Bracket:</t>
        </is>
      </c>
      <c r="J20" s="17">
        <f>XLOOKUP(B28, FILTER('Tax Constants'!C3:C30, 'Tax Constants'!B3:B30=B2), FILTER('Tax Constants'!E3:E30, 'Tax Constants'!B3:B30=B2), 0, -1)</f>
        <v/>
      </c>
    </row>
    <row r="21">
      <c r="A21" s="2" t="inlineStr">
        <is>
          <t>Investment Ordinary (Div/Int + STG)</t>
        </is>
      </c>
      <c r="B21" s="15">
        <f>SUM('Investment Income Snapshots'!C:C) + B16 + SUM('Investment Income Snapshots'!D:D)</f>
        <v/>
      </c>
      <c r="D21" s="2" t="n"/>
      <c r="I21" s="2" t="inlineStr">
        <is>
          <t>Marginal CA Bracket:</t>
        </is>
      </c>
      <c r="J21" s="17">
        <f>XLOOKUP(B34, FILTER('Tax Constants'!C49:C84, 'Tax Constants'!B49:B84=B2), FILTER('Tax Constants'!E49:E84, 'Tax Constants'!B49:B84=B2), 0, -1)</f>
        <v/>
      </c>
    </row>
    <row r="22">
      <c r="A22" s="2" t="inlineStr">
        <is>
          <t>Investment Preferential (LTG Only)</t>
        </is>
      </c>
      <c r="B22" s="15">
        <f>SUM('Investment Income Snapshots'!E:E)</f>
        <v/>
      </c>
      <c r="D22" s="2" t="n"/>
      <c r="I22" s="2" t="inlineStr">
        <is>
          <t>Deduction Applied:</t>
        </is>
      </c>
      <c r="J22">
        <f>IF(B6&gt;XLOOKUP(B2, 'Tax Constants'!B3:B30, 'Tax Constants'!F3:F30, 0), "ITEMIZED", "STANDARD")</f>
        <v/>
      </c>
    </row>
    <row r="23">
      <c r="A23" s="2" t="inlineStr">
        <is>
          <t>Total Projected Federal AGI</t>
        </is>
      </c>
      <c r="B23" s="15">
        <f>B19 + B21 + B22</f>
        <v/>
      </c>
      <c r="D23" s="2" t="n"/>
      <c r="I23" s="2" t="inlineStr">
        <is>
          <t>Bracket Year:</t>
        </is>
      </c>
      <c r="J23" s="13" t="n">
        <v>2025</v>
      </c>
    </row>
    <row r="24">
      <c r="A24" s="2" t="inlineStr">
        <is>
          <t>Total Projected CA AGI</t>
        </is>
      </c>
      <c r="B24" s="15">
        <f>B20 + B21 + B22</f>
        <v/>
      </c>
      <c r="D24" s="2" t="n"/>
      <c r="I24" s="2" t="n"/>
    </row>
    <row r="25">
      <c r="A25" s="2" t="n"/>
      <c r="B25" s="15" t="n"/>
      <c r="D25" s="2" t="n"/>
      <c r="I25" s="1" t="inlineStr">
        <is>
          <t>ACTIVE WARNINGS</t>
        </is>
      </c>
    </row>
    <row r="26">
      <c r="A26" s="1" t="inlineStr">
        <is>
          <t>Federal Tax Calculation</t>
        </is>
      </c>
      <c r="B26" s="15" t="n"/>
      <c r="D26" s="2" t="n"/>
      <c r="I26" s="2" t="inlineStr">
        <is>
          <t>Stale Snapshots:</t>
        </is>
      </c>
      <c r="J26">
        <f>IF(OR(MAX('Wage Snapshots'!A:A)=0, (B9 - MAX('Wage Snapshots'!A:A)) &gt; 30), "🔴 !!! 30+ DAYS OLD !!!", "OK")</f>
        <v/>
      </c>
    </row>
    <row r="27">
      <c r="A27" s="2" t="inlineStr">
        <is>
          <t>Deduction Applied (Max Std/Item)</t>
        </is>
      </c>
      <c r="B27" s="15">
        <f>MAX(XLOOKUP(B2, 'Tax Constants'!B3:B30, 'Tax Constants'!F3:F30,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Fed Brackets Stale:</t>
        </is>
      </c>
      <c r="J29">
        <f>IF(B8 &gt; J23, "⚠️ FED STALE: "&amp;B8&amp;" brackets missing, using 2025 instead", "OK")</f>
        <v/>
      </c>
    </row>
    <row r="30">
      <c r="A30" s="2" t="inlineStr">
        <is>
          <t>Capital Gains Tax</t>
        </is>
      </c>
      <c r="B30" s="15">
        <f>IF(B22&gt;0, B22 * XLOOKUP(B28+B22, FILTER('Tax Constants'!C34:C45, 'Tax Constants'!B34:B45=B2), FILTER('Tax Constants'!D34:D45, 'Tax Constants'!B34:B45=B2), 0, -1), 0)</f>
        <v/>
      </c>
      <c r="D30" s="2" t="n"/>
      <c r="I30" s="2" t="inlineStr">
        <is>
          <t>CA Brackets Stale:</t>
        </is>
      </c>
      <c r="J30">
        <f>IF(B8 &gt; J23, "⚠️ CA STALE: "&amp;B8&amp;" brackets missing, using 2025 instead", "OK")</f>
        <v/>
      </c>
    </row>
    <row r="31">
      <c r="A31" s="2" t="n"/>
      <c r="B31" s="15" t="n"/>
      <c r="D31" s="2" t="n"/>
      <c r="I31" s="2" t="n"/>
    </row>
    <row r="32">
      <c r="A32" s="1" t="inlineStr">
        <is>
          <t>CA Tax Calculation</t>
        </is>
      </c>
      <c r="B32" s="15" t="n"/>
      <c r="D32" s="2" t="n"/>
      <c r="I32" s="2" t="n"/>
    </row>
    <row r="33">
      <c r="A33" s="2" t="inlineStr">
        <is>
          <t>CA Deduction Applied</t>
        </is>
      </c>
      <c r="B33" s="15">
        <f>MAX(XLOOKUP(B2, 'Tax Constants'!B49:B84, 'Tax Constants'!F49:F84, 0), B7)</f>
        <v/>
      </c>
      <c r="D33" s="2" t="n"/>
      <c r="I33" s="2" t="n"/>
    </row>
    <row r="34">
      <c r="A34" s="2" t="inlineStr">
        <is>
          <t>CA Taxable Income</t>
        </is>
      </c>
      <c r="B34" s="15">
        <f>MAX(0, B24 - B33)</f>
        <v/>
      </c>
      <c r="D34" s="2" t="n"/>
      <c r="I34" s="2" t="n"/>
    </row>
    <row r="35">
      <c r="A35" s="2" t="inlineStr">
        <is>
          <t>CA Regular Tax</t>
        </is>
      </c>
      <c r="B35" s="15">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B38" s="15" t="n"/>
      <c r="D38" s="2" t="n"/>
      <c r="I38" s="2" t="n"/>
    </row>
    <row r="39">
      <c r="A39" s="2" t="inlineStr">
        <is>
          <t>Final Liability &amp; Surtaxes</t>
        </is>
      </c>
      <c r="B39" s="15" t="n"/>
      <c r="D39" s="2" t="n"/>
      <c r="I39" s="2" t="n"/>
    </row>
    <row r="40">
      <c r="A40" s="2" t="inlineStr">
        <is>
          <t>NIIT Threshold</t>
        </is>
      </c>
      <c r="B40" s="15">
        <f>XLOOKUP(B2, 'Tax Constants'!B88:B91, 'Tax Constants'!C88:C91, 200000)</f>
        <v/>
      </c>
      <c r="D40" s="2" t="n"/>
      <c r="I40" s="2" t="n"/>
    </row>
    <row r="41">
      <c r="A41" s="2" t="inlineStr">
        <is>
          <t>NIIT (Fed)</t>
        </is>
      </c>
      <c r="B41" s="15">
        <f>IF(B23 &gt; B40, 0.038 * MIN(B23-B40, B21+B22), 0)</f>
        <v/>
      </c>
      <c r="D41" s="2" t="n"/>
      <c r="I41" s="2" t="n"/>
    </row>
    <row r="42">
      <c r="A42" s="2" t="inlineStr">
        <is>
          <t>Addl Medicare Threshold</t>
        </is>
      </c>
      <c r="B42" s="15">
        <f>XLOOKUP(B2, 'Tax Constants'!B88:B91, 'Tax Constants'!D88:D91, 200000)</f>
        <v/>
      </c>
      <c r="D42" s="2" t="n"/>
      <c r="I42" s="2" t="n"/>
    </row>
    <row r="43">
      <c r="A43" s="2" t="inlineStr">
        <is>
          <t>Addl Medicare (Fed)</t>
        </is>
      </c>
      <c r="B43" s="15">
        <f>IF(B18 &gt; B42, 0.009 * (B18-B42), 0)</f>
        <v/>
      </c>
      <c r="D43" s="2" t="n"/>
      <c r="I43" s="2" t="n"/>
    </row>
    <row r="44">
      <c r="A44" s="2" t="inlineStr">
        <is>
          <t>CTC Phaseout Start</t>
        </is>
      </c>
      <c r="B44" s="15">
        <f>XLOOKUP(B2, 'Tax Constants'!B88:B91, 'Tax Constants'!E88:E91,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B47" s="15" t="n"/>
      <c r="D47" s="2" t="n"/>
      <c r="I47" s="2" t="n"/>
    </row>
    <row r="48">
      <c r="A48" s="1" t="inlineStr">
        <is>
          <t>Payment Requirements</t>
        </is>
      </c>
      <c r="B48" s="15" t="n"/>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5">
        <f>B49 * 0.25</f>
        <v/>
      </c>
      <c r="C55" s="15">
        <f>MAX(0, B55 - B50)</f>
        <v/>
      </c>
      <c r="D55" s="2" t="n"/>
      <c r="I55" s="2" t="n"/>
    </row>
    <row r="56">
      <c r="A56" s="2" t="inlineStr">
        <is>
          <t>Q2 (Jun 15)</t>
        </is>
      </c>
      <c r="B56" s="15">
        <f>B49 * 0.5</f>
        <v/>
      </c>
      <c r="C56" s="15">
        <f>MAX(0, B56 - B50)</f>
        <v/>
      </c>
      <c r="D56" s="2" t="n"/>
      <c r="I56" s="2" t="n"/>
    </row>
    <row r="57">
      <c r="A57" s="2" t="inlineStr">
        <is>
          <t>Q3 (Sep 15)</t>
        </is>
      </c>
      <c r="B57" s="15">
        <f>B49 * 0.75</f>
        <v/>
      </c>
      <c r="C57" s="15">
        <f>MAX(0, B57 - B50)</f>
        <v/>
      </c>
      <c r="D57" s="2" t="n"/>
      <c r="I57" s="2" t="n"/>
    </row>
    <row r="58">
      <c r="A58" s="2" t="inlineStr">
        <is>
          <t>Q4 (Jan 15)</t>
        </is>
      </c>
      <c r="B58" s="15">
        <f>B49 * 1.0</f>
        <v/>
      </c>
      <c r="C58" s="15">
        <f>MAX(0, B58 - B50)</f>
        <v/>
      </c>
      <c r="D58" s="2" t="n"/>
      <c r="I58" s="2" t="n"/>
    </row>
    <row r="59">
      <c r="A59" s="2" t="n"/>
      <c r="B59" s="15" t="n"/>
      <c r="C59" s="15" t="n"/>
      <c r="D59" s="2" t="n"/>
      <c r="I59" s="2" t="n"/>
    </row>
    <row r="60">
      <c r="A60" s="1" t="inlineStr">
        <is>
          <t>STATE PAYMENT SCHEDULE</t>
        </is>
      </c>
      <c r="B60" s="15" t="n"/>
      <c r="C60" s="15" t="n"/>
      <c r="D60" s="2" t="n"/>
      <c r="I60" s="2" t="n"/>
    </row>
    <row r="61">
      <c r="A61" s="2" t="inlineStr">
        <is>
          <t>Q1 (Apr 15)</t>
        </is>
      </c>
      <c r="B61" s="15">
        <f>B51 * 0.3</f>
        <v/>
      </c>
      <c r="C61" s="15">
        <f>MAX(0, B61 - B52)</f>
        <v/>
      </c>
      <c r="D61" s="2" t="n"/>
      <c r="I61" s="2" t="n"/>
    </row>
    <row r="62">
      <c r="A62" s="2" t="inlineStr">
        <is>
          <t>Q2 (Jun 15)</t>
        </is>
      </c>
      <c r="B62" s="15">
        <f>B51 * 0.7</f>
        <v/>
      </c>
      <c r="C62" s="15">
        <f>MAX(0, B62 - B52)</f>
        <v/>
      </c>
      <c r="D62" s="2" t="n"/>
      <c r="I62" s="2" t="n"/>
    </row>
    <row r="63">
      <c r="A63" s="2" t="inlineStr">
        <is>
          <t>Q3 (Sep 15)</t>
        </is>
      </c>
      <c r="B63" s="15">
        <f>B51 * 0.7</f>
        <v/>
      </c>
      <c r="C63" s="15">
        <f>MAX(0, B63 - B52)</f>
        <v/>
      </c>
      <c r="D63" s="2" t="n"/>
      <c r="I63" s="2" t="n"/>
    </row>
    <row r="64">
      <c r="A64" s="2" t="inlineStr">
        <is>
          <t>Q4 (Jan 15)</t>
        </is>
      </c>
      <c r="B64" s="15">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2026-04-09T02:53:48Z</dcterms:created>
  <dcterms:modified xsi:type="dcterms:W3CDTF">2026-04-09T02:53:48Z</dcterms:modified>
</cp:coreProperties>
</file>