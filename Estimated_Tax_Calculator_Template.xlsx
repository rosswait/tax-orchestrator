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5" t="n"/>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Constants'!D3:D30, 'Tax Constants'!B3:B30=B2), 0, -1)</f>
        <v/>
      </c>
    </row>
    <row r="21">
      <c r="A21" s="2" t="inlineStr">
        <is>
          <t>Investment Ordinary (Div/Int + STG)</t>
        </is>
      </c>
      <c r="B21" s="15">
        <f>SUM('Investment Income Snapshots'!C:C) + SUM('Investment Income Snapshots'!D:D)</f>
        <v/>
      </c>
      <c r="D21" s="2" t="n"/>
      <c r="I21" s="2" t="inlineStr">
        <is>
          <t>Marginal CA Bracket:</t>
        </is>
      </c>
      <c r="J21" s="17">
        <f>XLOOKUP(B34, FILTER('Tax Constants'!C49:C84, 'Tax Constants'!B49:B84=B2), FILTER('Tax Constants'!D49:D84, 'Tax Constants'!B49:B84=B2), 0, -1)</f>
        <v/>
      </c>
    </row>
    <row r="22">
      <c r="A22" s="2" t="inlineStr">
        <is>
          <t>Investment Preferential (LTG Only)</t>
        </is>
      </c>
      <c r="B22" s="15">
        <f>SUM('Investment Income Snapshots'!E:E)</f>
        <v/>
      </c>
      <c r="D22" s="2" t="n"/>
      <c r="I22" s="2" t="inlineStr">
        <is>
          <t>Deduction Applied:</t>
        </is>
      </c>
      <c r="J22">
        <f>IF(B6&gt;XLOOKUP(B2, 'Tax Constants'!B3:B30, 'Tax Constants'!B3:B30=B2),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2026-04-08T18:44:51Z</dcterms:created>
  <dcterms:modified xsi:type="dcterms:W3CDTF">2026-04-08T18:44:51Z</dcterms:modified>
</cp:coreProperties>
</file>