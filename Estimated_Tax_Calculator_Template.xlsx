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AI Parsing Instruction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your Status Date is set to a tax year for which new brackets have not yet been released. Using the previous year's brackets is a safe, conservative proxy that slightly overstates liability (as it ignores inflation-based bracket growth).</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f>DATE(B8,6,15)</f>
        <v/>
      </c>
      <c r="E5" s="7" t="n"/>
      <c r="F5" s="7" t="n"/>
      <c r="G5" s="8" t="inlineStr">
        <is>
          <t>Fed Q2</t>
        </is>
      </c>
      <c r="I5" s="9" t="inlineStr">
        <is>
          <t>FED Payments YTD:</t>
        </is>
      </c>
      <c r="J5" s="12">
        <f>B50</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C61, B9&lt;=DATE(B8,6,15), C62, B9&lt;=DATE(B8,9,15), C63, TRUE, C64)</f>
        <v/>
      </c>
    </row>
    <row r="9">
      <c r="A9" s="2" t="inlineStr">
        <is>
          <t>Status Date</t>
        </is>
      </c>
      <c r="B9" s="11">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4" t="n"/>
      <c r="D10" s="6">
        <f>DATE(B8+1,1,15)</f>
        <v/>
      </c>
      <c r="E10" s="7" t="n"/>
      <c r="F10" s="7" t="n"/>
      <c r="G10" s="8" t="inlineStr">
        <is>
          <t>CA Q4</t>
        </is>
      </c>
      <c r="I10" s="9" t="inlineStr">
        <is>
          <t>Next CA Target:</t>
        </is>
      </c>
      <c r="J10" s="12">
        <f>IFS(B9&lt;=DATE(B8,4,15), B61, B9&lt;=DATE(B8,6,15), B62, B9&lt;=DATE(B8,9,15), B63, TRUE, B64)</f>
        <v/>
      </c>
    </row>
    <row r="11">
      <c r="A11" s="1" t="inlineStr">
        <is>
          <t>Projection &amp; Assumptions</t>
        </is>
      </c>
      <c r="B11" s="14"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1"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B16" s="14" t="n"/>
      <c r="D16" s="2" t="n"/>
      <c r="I16" s="2" t="inlineStr">
        <is>
          <t>Fed Target Method:</t>
        </is>
      </c>
      <c r="J16">
        <f>IF(B4=0, "90% Forecast", IF(B46*0.9 &lt; B4*1.1, "90% Forecast", "110% Safe Harbor"))</f>
        <v/>
      </c>
    </row>
    <row r="17">
      <c r="A17" s="1" t="inlineStr">
        <is>
          <t>Consolidated Income Projection</t>
        </is>
      </c>
      <c r="B17" s="14" t="n"/>
      <c r="D17" s="2" t="n"/>
      <c r="I17" s="2" t="inlineStr">
        <is>
          <t>CA Target Method:</t>
        </is>
      </c>
      <c r="J17">
        <f>IF(B5=0, "80% Forecast", IF(B37*0.8 &lt; B5*1.1, "80% Forecast", "110% Safe Harbor"))</f>
        <v/>
      </c>
    </row>
    <row r="18">
      <c r="A18" s="2" t="inlineStr">
        <is>
          <t>Total Projected Wage Income</t>
        </is>
      </c>
      <c r="B18" s="14">
        <f>SUM('Wage Snapshots'!B:B) + (B14 * B13) + B12</f>
        <v/>
      </c>
      <c r="D18" s="2" t="n"/>
      <c r="I18" s="2" t="inlineStr">
        <is>
          <t>Effective Fed Rate:</t>
        </is>
      </c>
      <c r="J18" s="15">
        <f>B46 / MAX(1, B23)</f>
        <v/>
      </c>
    </row>
    <row r="19">
      <c r="A19" s="2" t="inlineStr">
        <is>
          <t>Federal W-2 State Wages</t>
        </is>
      </c>
      <c r="B19" s="14">
        <f>B18 - SUM('Wage Snapshots'!C:D) - (B15 * B13)</f>
        <v/>
      </c>
      <c r="D19" s="2" t="n"/>
      <c r="I19" s="2" t="inlineStr">
        <is>
          <t>Effective CA Rate:</t>
        </is>
      </c>
      <c r="J19" s="15">
        <f>B37 / MAX(1, B23)</f>
        <v/>
      </c>
    </row>
    <row r="20">
      <c r="A20" s="2" t="inlineStr">
        <is>
          <t>CA W-2 State Wages</t>
        </is>
      </c>
      <c r="B20" s="14">
        <f>B18 - SUM('Wage Snapshots'!C:C) - (SUM('Wage Snapshots'!C:C)/MAX(1, SUM('Wage Snapshots'!C:D))) * B15 * B13</f>
        <v/>
      </c>
      <c r="D20" s="2" t="n"/>
      <c r="I20" s="2" t="inlineStr">
        <is>
          <t>Marginal Fed Bracket:</t>
        </is>
      </c>
      <c r="J20" s="15">
        <f>XLOOKUP(B28, FILTER('Tax Constants'!C3:C30, 'Tax Constants'!B3:B30=B2), FILTER('Tax Constants'!D3:D30, 'Tax Constants'!B3:B30=B2), 0, -1)</f>
        <v/>
      </c>
    </row>
    <row r="21">
      <c r="A21" s="2" t="inlineStr">
        <is>
          <t>Investment Ordinary (Div/Int + STG)</t>
        </is>
      </c>
      <c r="B21" s="14">
        <f>SUM('Investment Income Snapshots'!C:C) + SUM('Investment Income Snapshots'!D:D)</f>
        <v/>
      </c>
      <c r="D21" s="2" t="n"/>
      <c r="I21" s="2" t="inlineStr">
        <is>
          <t>Marginal CA Bracket:</t>
        </is>
      </c>
      <c r="J21" s="15">
        <f>XLOOKUP(B34, FILTER('Tax Constants'!C49:C84, 'Tax Constants'!B49:B84=B2), FILTER('Tax Constants'!D49:D84, 'Tax Constants'!B49:B84=B2), 0, -1)</f>
        <v/>
      </c>
    </row>
    <row r="22">
      <c r="A22" s="2" t="inlineStr">
        <is>
          <t>Investment Preferential (LTG Only)</t>
        </is>
      </c>
      <c r="B22" s="14">
        <f>SUM('Investment Income Snapshots'!E:E)</f>
        <v/>
      </c>
      <c r="D22" s="2" t="n"/>
      <c r="I22" s="2" t="inlineStr">
        <is>
          <t>Deduction Applied:</t>
        </is>
      </c>
      <c r="J22">
        <f>IF(B6&gt;XLOOKUP(B2, 'Tax Constants'!B3:B30, 'Tax Constants'!B3:B30=B2), "ITEMIZED", "STANDARD")</f>
        <v/>
      </c>
    </row>
    <row r="23">
      <c r="A23" s="2" t="inlineStr">
        <is>
          <t>Total Projected Federal AGI</t>
        </is>
      </c>
      <c r="B23" s="14">
        <f>B19 + B21 + B22</f>
        <v/>
      </c>
      <c r="D23" s="2" t="n"/>
      <c r="I23" s="2" t="inlineStr">
        <is>
          <t>Bracket Year:</t>
        </is>
      </c>
      <c r="J23" s="13" t="n">
        <v>2025</v>
      </c>
    </row>
    <row r="24">
      <c r="A24" s="2" t="inlineStr">
        <is>
          <t>Total Projected CA AGI</t>
        </is>
      </c>
      <c r="B24" s="14">
        <f>B20 + B21 + B22</f>
        <v/>
      </c>
      <c r="D24" s="2" t="n"/>
      <c r="I24" s="2" t="n"/>
    </row>
    <row r="25">
      <c r="A25" s="2" t="n"/>
      <c r="B25" s="14" t="n"/>
      <c r="D25" s="2" t="n"/>
      <c r="I25" s="1" t="inlineStr">
        <is>
          <t>ACTIVE WARNINGS</t>
        </is>
      </c>
    </row>
    <row r="26">
      <c r="A26" s="1" t="inlineStr">
        <is>
          <t>Federal Tax Calculation</t>
        </is>
      </c>
      <c r="B26" s="14" t="n"/>
      <c r="D26" s="2" t="n"/>
      <c r="I26" s="2" t="inlineStr">
        <is>
          <t>Stale Snapshots:</t>
        </is>
      </c>
      <c r="J26">
        <f>IF(OR(MAX('Wage Snapshots'!A:A)=0, (B9 - MAX('Wage Snapshots'!A:A)) &gt; 30), "🔴 !!! 30+ DAYS OLD !!!", "OK")</f>
        <v/>
      </c>
    </row>
    <row r="27">
      <c r="A27" s="2" t="inlineStr">
        <is>
          <t>Deduction Applied (Max Std/Item)</t>
        </is>
      </c>
      <c r="B27" s="14">
        <f>MAX(XLOOKUP(B2, 'Tax Constants'!B3:B30, 'Tax Constants'!F3:F30, 0), B6)</f>
        <v/>
      </c>
      <c r="D27" s="2" t="n"/>
      <c r="I27" s="2" t="inlineStr">
        <is>
          <t>Prior Year Data:</t>
        </is>
      </c>
      <c r="J27">
        <f>IF(B4=0, "🔴 WARNING: FED MISSING", "OK")</f>
        <v/>
      </c>
    </row>
    <row r="28">
      <c r="A28" s="2" t="inlineStr">
        <is>
          <t>Ordinary Taxable Income</t>
        </is>
      </c>
      <c r="B28" s="14">
        <f>MAX(0, B23 - B27 - B22)</f>
        <v/>
      </c>
      <c r="D28" s="2" t="n"/>
      <c r="I28" s="2" t="inlineStr">
        <is>
          <t>HSA Verification (CA):</t>
        </is>
      </c>
      <c r="J28">
        <f>IF(SUM('Wage Snapshots'!D:D)=0, "✅ No HSA Detected", IF(B20=B19, "🔴 ERR: HSA NOT ADDED TO CA", "✅ HSA Corrected (CA)"))</f>
        <v/>
      </c>
    </row>
    <row r="29">
      <c r="A29" s="2" t="inlineStr">
        <is>
          <t>Ordinary Income Tax</t>
        </is>
      </c>
      <c r="B29" s="14">
        <f>XLOOKUP(B28, FILTER('Tax Constants'!C3:C30, 'Tax Constants'!B3:B30=B2), FILTER('Tax Constants'!D3:D30, 'Tax Constants'!B3:B30=B2), 0, -1) + (B28 - XLOOKUP(B28, FILTER('Tax Constants'!C3:C30, 'Tax Constants'!B3:B30=B2), FILTER('Tax Constants'!C3:C30, 'Tax Constants'!B3:B30=B2), 0, -1)) * XLOOKUP(B28, FILTER('Tax Constants'!C3:C30, 'Tax Constants'!B3:B30=B2), FILTER('Tax Constants'!E3:E30, 'Tax Constants'!B3:B30=B2), 0, -1)</f>
        <v/>
      </c>
      <c r="D29" s="2" t="n"/>
      <c r="I29" s="2" t="inlineStr">
        <is>
          <t>Bracket Staleness:</t>
        </is>
      </c>
      <c r="J29" s="3">
        <f>IF(B8 &gt; J23, "⚠️ BRACKETS STALE (USING 2025 PROXY)", "OK")</f>
        <v/>
      </c>
    </row>
    <row r="30">
      <c r="A30" s="2" t="inlineStr">
        <is>
          <t>Capital Gains Tax</t>
        </is>
      </c>
      <c r="B30" s="14">
        <f>IF(B22&gt;0, B22 * XLOOKUP(B28+B22, FILTER('Tax Constants'!C34:C45, 'Tax Constants'!B34:B45=B2), FILTER('Tax Constants'!D34:D45, 'Tax Constants'!B34:B45=B2), 0, -1), 0)</f>
        <v/>
      </c>
      <c r="D30" s="2" t="n"/>
      <c r="I30" s="2" t="n"/>
    </row>
    <row r="31">
      <c r="A31" s="2" t="n"/>
      <c r="B31" s="14" t="n"/>
      <c r="D31" s="2" t="n"/>
      <c r="I31" s="2" t="n"/>
    </row>
    <row r="32">
      <c r="A32" s="1" t="inlineStr">
        <is>
          <t>CA Tax Calculation</t>
        </is>
      </c>
      <c r="B32" s="14" t="n"/>
      <c r="D32" s="2" t="n"/>
      <c r="I32" s="2" t="n"/>
    </row>
    <row r="33">
      <c r="A33" s="2" t="inlineStr">
        <is>
          <t>CA Deduction Applied</t>
        </is>
      </c>
      <c r="B33" s="14">
        <f>MAX(XLOOKUP(B2, 'Tax Constants'!B49:B84, 'Tax Constants'!F49:F84, 0), B7)</f>
        <v/>
      </c>
      <c r="D33" s="2" t="n"/>
      <c r="I33" s="2" t="n"/>
    </row>
    <row r="34">
      <c r="A34" s="2" t="inlineStr">
        <is>
          <t>CA Taxable Income</t>
        </is>
      </c>
      <c r="B34" s="14">
        <f>MAX(0, B24 - B33)</f>
        <v/>
      </c>
      <c r="D34" s="2" t="n"/>
      <c r="I34" s="2" t="n"/>
    </row>
    <row r="35">
      <c r="A35" s="2" t="inlineStr">
        <is>
          <t>CA Regular Tax</t>
        </is>
      </c>
      <c r="B35" s="14">
        <f>XLOOKUP(B34, FILTER('Tax Constants'!C49:C84, 'Tax Constants'!B49:B84=B2), FILTER('Tax Constants'!D49:D84, 'Tax Constants'!B49:B84=B2), 0, -1) + (B34 - XLOOKUP(B34, FILTER('Tax Constants'!C49:C84, 'Tax Constants'!B49:B84=B2), FILTER('Tax Constants'!C49:C84, 'Tax Constants'!B49:B84=B2), 0, -1)) * XLOOKUP(B34, FILTER('Tax Constants'!C49:C84, 'Tax Constants'!B49:B84=B2), FILTER('Tax Constants'!E49:E84, 'Tax Constants'!B49:B84=B2), 0, -1)</f>
        <v/>
      </c>
      <c r="D35" s="2" t="n"/>
      <c r="I35" s="2" t="n"/>
    </row>
    <row r="36">
      <c r="A36" s="2" t="inlineStr">
        <is>
          <t>CA MH Surcharge (1%)</t>
        </is>
      </c>
      <c r="B36" s="14">
        <f>IF(B34 &gt; 1000000, (B34 - 1000000) * 0.01, 0)</f>
        <v/>
      </c>
      <c r="D36" s="2" t="n"/>
      <c r="I36" s="2" t="n"/>
    </row>
    <row r="37">
      <c r="A37" s="2" t="inlineStr">
        <is>
          <t>Total CA Liability</t>
        </is>
      </c>
      <c r="B37" s="14">
        <f>B35 + B36</f>
        <v/>
      </c>
      <c r="D37" s="2" t="n"/>
      <c r="I37" s="2" t="n"/>
    </row>
    <row r="38">
      <c r="A38" s="2" t="n"/>
      <c r="B38" s="14" t="n"/>
      <c r="D38" s="2" t="n"/>
      <c r="I38" s="2" t="n"/>
    </row>
    <row r="39">
      <c r="A39" s="2" t="inlineStr">
        <is>
          <t>Final Liability &amp; Surtaxes</t>
        </is>
      </c>
      <c r="B39" s="14" t="n"/>
      <c r="D39" s="2" t="n"/>
      <c r="I39" s="2" t="n"/>
    </row>
    <row r="40">
      <c r="A40" s="2" t="inlineStr">
        <is>
          <t>NIIT Threshold</t>
        </is>
      </c>
      <c r="B40" s="14">
        <f>XLOOKUP(B2, 'Tax Constants'!B88:B91, 'Tax Constants'!C88:C91, 200000)</f>
        <v/>
      </c>
      <c r="D40" s="2" t="n"/>
      <c r="I40" s="2" t="n"/>
    </row>
    <row r="41">
      <c r="A41" s="2" t="inlineStr">
        <is>
          <t>NIIT (Fed)</t>
        </is>
      </c>
      <c r="B41" s="14">
        <f>IF(B23 &gt; B40, 0.038 * MIN(B23-B40, B21+B22), 0)</f>
        <v/>
      </c>
      <c r="D41" s="2" t="n"/>
      <c r="I41" s="2" t="n"/>
    </row>
    <row r="42">
      <c r="A42" s="2" t="inlineStr">
        <is>
          <t>Addl Medicare Threshold</t>
        </is>
      </c>
      <c r="B42" s="14">
        <f>XLOOKUP(B2, 'Tax Constants'!B88:B91, 'Tax Constants'!D88:D91, 200000)</f>
        <v/>
      </c>
      <c r="D42" s="2" t="n"/>
      <c r="I42" s="2" t="n"/>
    </row>
    <row r="43">
      <c r="A43" s="2" t="inlineStr">
        <is>
          <t>Addl Medicare (Fed)</t>
        </is>
      </c>
      <c r="B43" s="14">
        <f>IF(B18 &gt; B42, 0.009 * (B18-B42), 0)</f>
        <v/>
      </c>
      <c r="D43" s="2" t="n"/>
      <c r="I43" s="2" t="n"/>
    </row>
    <row r="44">
      <c r="A44" s="2" t="inlineStr">
        <is>
          <t>CTC Phaseout Start</t>
        </is>
      </c>
      <c r="B44" s="14">
        <f>XLOOKUP(B2, 'Tax Constants'!B88:B91, 'Tax Constants'!E88:E91, 200000)</f>
        <v/>
      </c>
      <c r="D44" s="2" t="n"/>
      <c r="I44" s="2" t="n"/>
    </row>
    <row r="45">
      <c r="A45" s="2" t="inlineStr">
        <is>
          <t>Child Tax Credit</t>
        </is>
      </c>
      <c r="B45" s="14">
        <f>IF(B23 &gt; B44, MAX(0, (B3*2000)-((B23-B44)/1000)*50), B3*2000)</f>
        <v/>
      </c>
      <c r="D45" s="2" t="n"/>
      <c r="I45" s="2" t="n"/>
    </row>
    <row r="46">
      <c r="A46" s="2" t="inlineStr">
        <is>
          <t>Total Federal Liability</t>
        </is>
      </c>
      <c r="B46" s="14">
        <f>B29 + B30 + B41 + B43 - B45</f>
        <v/>
      </c>
      <c r="D46" s="2" t="n"/>
      <c r="I46" s="2" t="n"/>
    </row>
    <row r="47">
      <c r="A47" s="2" t="n"/>
      <c r="B47" s="14" t="n"/>
      <c r="D47" s="2" t="n"/>
      <c r="I47" s="2" t="n"/>
    </row>
    <row r="48">
      <c r="A48" s="1" t="inlineStr">
        <is>
          <t>Payment Requirements</t>
        </is>
      </c>
      <c r="B48" s="14" t="n"/>
      <c r="D48" s="2" t="n"/>
      <c r="I48" s="2" t="n"/>
    </row>
    <row r="49">
      <c r="A49" s="2" t="inlineStr">
        <is>
          <t>Fed Target</t>
        </is>
      </c>
      <c r="B49" s="14">
        <f>IF(B4=0, B46 * 0.9, MIN(B46 * 0.9, B4 * 1.1))</f>
        <v/>
      </c>
      <c r="D49" s="2" t="n"/>
      <c r="I49" s="2" t="n"/>
    </row>
    <row r="50">
      <c r="A50" s="2" t="inlineStr">
        <is>
          <t>Total Fed Payments YTD</t>
        </is>
      </c>
      <c r="B50" s="14">
        <f>SUM('Wage Snapshots'!E:E) + SUMIFS(F3:F10, G3:G10, "Fed*")</f>
        <v/>
      </c>
      <c r="D50" s="2" t="n"/>
      <c r="I50" s="2" t="n"/>
    </row>
    <row r="51">
      <c r="A51" s="2" t="inlineStr">
        <is>
          <t>CA Target</t>
        </is>
      </c>
      <c r="B51" s="14">
        <f>IF(B5=0, B37 * 0.8, MIN(B37 * 0.8, B5 * 1.1))</f>
        <v/>
      </c>
      <c r="D51" s="2" t="n"/>
      <c r="I51" s="2" t="n"/>
    </row>
    <row r="52">
      <c r="A52" s="2" t="inlineStr">
        <is>
          <t>Total CA Payments YTD</t>
        </is>
      </c>
      <c r="B52" s="14">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4">
        <f>B49 * 0.25</f>
        <v/>
      </c>
      <c r="C55" s="14">
        <f>MAX(0, B55 - B50)</f>
        <v/>
      </c>
      <c r="D55" s="2" t="n"/>
      <c r="I55" s="2" t="n"/>
    </row>
    <row r="56">
      <c r="A56" s="2" t="inlineStr">
        <is>
          <t>Q2 (Jun 15)</t>
        </is>
      </c>
      <c r="B56" s="14">
        <f>B49 * 0.5</f>
        <v/>
      </c>
      <c r="C56" s="14">
        <f>MAX(0, B56 - B50)</f>
        <v/>
      </c>
      <c r="D56" s="2" t="n"/>
      <c r="I56" s="2" t="n"/>
    </row>
    <row r="57">
      <c r="A57" s="2" t="inlineStr">
        <is>
          <t>Q3 (Sep 15)</t>
        </is>
      </c>
      <c r="B57" s="14">
        <f>B49 * 0.75</f>
        <v/>
      </c>
      <c r="C57" s="14">
        <f>MAX(0, B57 - B50)</f>
        <v/>
      </c>
      <c r="D57" s="2" t="n"/>
      <c r="I57" s="2" t="n"/>
    </row>
    <row r="58">
      <c r="A58" s="2" t="inlineStr">
        <is>
          <t>Q4 (Jan 15)</t>
        </is>
      </c>
      <c r="B58" s="14">
        <f>B49 * 1.0</f>
        <v/>
      </c>
      <c r="C58" s="14">
        <f>MAX(0, B58 - B50)</f>
        <v/>
      </c>
      <c r="D58" s="2" t="n"/>
      <c r="I58" s="2" t="n"/>
    </row>
    <row r="59">
      <c r="A59" s="2" t="n"/>
      <c r="B59" s="14" t="n"/>
      <c r="C59" s="14" t="n"/>
      <c r="D59" s="2" t="n"/>
      <c r="I59" s="2" t="n"/>
    </row>
    <row r="60">
      <c r="A60" s="1" t="inlineStr">
        <is>
          <t>STATE PAYMENT SCHEDULE</t>
        </is>
      </c>
      <c r="B60" s="14" t="n"/>
      <c r="C60" s="14" t="n"/>
      <c r="D60" s="2" t="n"/>
      <c r="I60" s="2" t="n"/>
    </row>
    <row r="61">
      <c r="A61" s="2" t="inlineStr">
        <is>
          <t>Q1 (Apr 15)</t>
        </is>
      </c>
      <c r="B61" s="14">
        <f>B51 * 0.3</f>
        <v/>
      </c>
      <c r="C61" s="14">
        <f>MAX(0, B61 - B52)</f>
        <v/>
      </c>
      <c r="D61" s="2" t="n"/>
      <c r="I61" s="2" t="n"/>
    </row>
    <row r="62">
      <c r="A62" s="2" t="inlineStr">
        <is>
          <t>Q2 (Jun 15)</t>
        </is>
      </c>
      <c r="B62" s="14">
        <f>B51 * 0.7</f>
        <v/>
      </c>
      <c r="C62" s="14">
        <f>MAX(0, B62 - B52)</f>
        <v/>
      </c>
      <c r="D62" s="2" t="n"/>
      <c r="I62" s="2" t="n"/>
    </row>
    <row r="63">
      <c r="A63" s="2" t="inlineStr">
        <is>
          <t>Q3 (Sep 15)</t>
        </is>
      </c>
      <c r="B63" s="14">
        <f>B51 * 0.7</f>
        <v/>
      </c>
      <c r="C63" s="14">
        <f>MAX(0, B63 - B52)</f>
        <v/>
      </c>
      <c r="D63" s="2" t="n"/>
      <c r="I63" s="2" t="n"/>
    </row>
    <row r="64">
      <c r="A64" s="2" t="inlineStr">
        <is>
          <t>Q4 (Jan 15)</t>
        </is>
      </c>
      <c r="B64" s="14">
        <f>B51 * 1.0</f>
        <v/>
      </c>
      <c r="C64" s="14">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c r="A4" t="inlineStr">
        <is>
          <t># Role &amp; Objective</t>
        </is>
      </c>
    </row>
    <row r="5">
      <c r="A5" t="inlineStr"/>
    </row>
    <row r="6">
      <c r="A6" t="inlineStr">
        <is>
          <t>Your purpose is to parse unstructured text, images, or PDFs of paystubs and brokerage statements provided by the user, and format the extracted data into precise, tab-separated tables.</t>
        </is>
      </c>
    </row>
    <row r="7">
      <c r="A7" t="inlineStr"/>
    </row>
    <row r="8">
      <c r="A8" t="inlineStr">
        <is>
          <t>These tables are designed to be copied and pasted directly into a master Tax Projection Excel workbook. Do not add any conversational filler, introductory text, or concluding remarks. Output **only** the requested tables unless I ask you a question.</t>
        </is>
      </c>
    </row>
    <row r="9">
      <c r="A9" t="inlineStr"/>
    </row>
    <row r="10">
      <c r="A10" t="inlineStr">
        <is>
          <t>Do not reference any data inside your project directory, if one exists.  Don't store state outside the context window.  You are just a function which translates provided uploaded inputs into outputs.</t>
        </is>
      </c>
    </row>
    <row r="11">
      <c r="A11" t="inlineStr"/>
    </row>
    <row r="12">
      <c r="A12" t="inlineStr"/>
    </row>
    <row r="13">
      <c r="A13" t="inlineStr">
        <is>
          <t>---</t>
        </is>
      </c>
    </row>
    <row r="14">
      <c r="A14" t="inlineStr"/>
    </row>
    <row r="15">
      <c r="A15" t="inlineStr">
        <is>
          <t># Formatting Rules</t>
        </is>
      </c>
    </row>
    <row r="16">
      <c r="A16" t="inlineStr"/>
    </row>
    <row r="17">
      <c r="A17" t="inlineStr"/>
    </row>
    <row r="18">
      <c r="A18" t="inlineStr"/>
    </row>
    <row r="19">
      <c r="A19" t="inlineStr">
        <is>
          <t>1. **Output Format**: Use a Markdown table format. Ensure that columns align correctly. Do not use comma-separated values (CSV). Use numerical formats without commas or dollar signs (e.g., use `1500.50` instead of `$1,500.50`).</t>
        </is>
      </c>
    </row>
    <row r="20">
      <c r="A20" t="inlineStr"/>
    </row>
    <row r="21">
      <c r="A21" t="inlineStr">
        <is>
          <t>2. **Missing Values**: If a value is not present on the document, output `0`. Do not leave it blank or use "N/A".</t>
        </is>
      </c>
    </row>
    <row r="22">
      <c r="A22" t="inlineStr"/>
    </row>
    <row r="23">
      <c r="A23" t="inlineStr">
        <is>
          <t>3. **Detection**: Automatically detect whether the provided document is a Paystub or a Brokerage Statement and output the corresponding table. If the user provides both, output both under their respective headers: `### Wage Snapshots` and `### Investment Income Snapshots`.</t>
        </is>
      </c>
    </row>
    <row r="24">
      <c r="A24" t="inlineStr"/>
    </row>
    <row r="25">
      <c r="A25" t="inlineStr"/>
    </row>
    <row r="26">
      <c r="A26" t="inlineStr"/>
    </row>
    <row r="27">
      <c r="A27" t="inlineStr">
        <is>
          <t>---</t>
        </is>
      </c>
    </row>
    <row r="28">
      <c r="A28" t="inlineStr"/>
    </row>
    <row r="29">
      <c r="A29" t="inlineStr"/>
    </row>
    <row r="30">
      <c r="A30" t="inlineStr"/>
    </row>
    <row r="31">
      <c r="A31" t="inlineStr">
        <is>
          <t># Schema 1: Wage Snapshots (Paystubs)</t>
        </is>
      </c>
    </row>
    <row r="32">
      <c r="A32" t="inlineStr"/>
    </row>
    <row r="33">
      <c r="A33" t="inlineStr">
        <is>
          <t>If the document is a paystub, RSU release confirmation, or W-2 income event, extract the data into the following columns exactly as defined:</t>
        </is>
      </c>
    </row>
    <row r="34">
      <c r="A34" t="inlineStr"/>
    </row>
    <row r="35">
      <c r="A35" t="inlineStr"/>
    </row>
    <row r="36">
      <c r="A36" t="inlineStr"/>
    </row>
    <row r="37">
      <c r="A37" t="inlineStr">
        <is>
          <t>| Date | Gross W-2 Income | Pre-tax Deductions | HSA Contributions | Fed Tax Withheld | CA Tax Withheld | FICA/Med/SDI |</t>
        </is>
      </c>
    </row>
    <row r="38">
      <c r="A38" t="inlineStr"/>
    </row>
    <row r="39">
      <c r="A39" t="inlineStr">
        <is>
          <t>|---|---|---|---|---|---|---|</t>
        </is>
      </c>
    </row>
    <row r="40">
      <c r="A40" t="inlineStr"/>
    </row>
    <row r="41">
      <c r="A41" t="inlineStr"/>
    </row>
    <row r="42">
      <c r="A42" t="inlineStr"/>
    </row>
    <row r="43">
      <c r="A43" t="inlineStr">
        <is>
          <t>**Extraction Logic for Wage Snapshots:**</t>
        </is>
      </c>
    </row>
    <row r="44">
      <c r="A44" t="inlineStr"/>
    </row>
    <row r="45">
      <c r="A45" t="inlineStr">
        <is>
          <t>*   **Date**: The date of the paystub or vest event (Format: MM/DD/YYYY).</t>
        </is>
      </c>
    </row>
    <row r="46">
      <c r="A46" t="inlineStr"/>
    </row>
    <row r="47">
      <c r="A47" t="inlineStr">
        <is>
          <t>*   **Gross W-2 Income**: The **Year-to-Date (YTD)** gross pay, combining base salary, bonus payout, and/or the total taxable value of RSU vests up to this date.</t>
        </is>
      </c>
    </row>
    <row r="48">
      <c r="A48" t="inlineStr"/>
    </row>
    <row r="49">
      <c r="A49" t="inlineStr">
        <is>
          <t>*   **Pre-tax Deductions**: The sum of all **YTD** pre-tax deductions (e.g., Traditional 401k, FSA, Health/Dental/Vision premiums). **CRITICAL IMPERATIVE**: Do **not** include HSA contributions in this sum.</t>
        </is>
      </c>
    </row>
    <row r="50">
      <c r="A50" t="inlineStr"/>
    </row>
    <row r="51">
      <c r="A51" t="inlineStr">
        <is>
          <t>*   **HSA Contributions**: The **YTD** pre-tax HSA contribution amount. (This must be isolated because California does not recognize HSA deductions).</t>
        </is>
      </c>
    </row>
    <row r="52">
      <c r="A52" t="inlineStr"/>
    </row>
    <row r="53">
      <c r="A53" t="inlineStr">
        <is>
          <t>*   **Fed Tax Withheld**: The **YTD** Federal Income Tax withheld.</t>
        </is>
      </c>
    </row>
    <row r="54">
      <c r="A54" t="inlineStr"/>
    </row>
    <row r="55">
      <c r="A55" t="inlineStr">
        <is>
          <t>*   **CA Tax Withheld**: The **YTD** California State Income Tax withheld.</t>
        </is>
      </c>
    </row>
    <row r="56">
      <c r="A56" t="inlineStr"/>
    </row>
    <row r="57">
      <c r="A57" t="inlineStr">
        <is>
          <t>*   **FICA/Med/SDI**: The sum of **YTD** Social Security (OASDI), Medicare, and CA State Disability Insurance (CA SDI) withheld.</t>
        </is>
      </c>
    </row>
    <row r="58">
      <c r="A58" t="inlineStr"/>
    </row>
    <row r="59">
      <c r="A59" t="inlineStr"/>
    </row>
    <row r="60">
      <c r="A60" t="inlineStr"/>
    </row>
    <row r="61">
      <c r="A61" t="inlineStr">
        <is>
          <t>---</t>
        </is>
      </c>
    </row>
    <row r="62">
      <c r="A62" t="inlineStr"/>
    </row>
    <row r="63">
      <c r="A63" t="inlineStr"/>
    </row>
    <row r="64">
      <c r="A64" t="inlineStr"/>
    </row>
    <row r="65">
      <c r="A65" t="inlineStr">
        <is>
          <t># Schema 2: Investment Income Snapshots (Brokerage Statements)</t>
        </is>
      </c>
    </row>
    <row r="66">
      <c r="A66" t="inlineStr">
        <is>
          <t>If the document is a 1099-DIV, 1099-B, or a quarterly consolidated brokerage statement, extract the data into the following columns exactly as defined:</t>
        </is>
      </c>
    </row>
    <row r="67">
      <c r="A67" t="inlineStr"/>
    </row>
    <row r="68">
      <c r="A68" t="inlineStr">
        <is>
          <t>| Quarter | Entity | Dividends &amp; Interest | Short-Term Gains | Long-Term Gains |</t>
        </is>
      </c>
    </row>
    <row r="69">
      <c r="A69" t="inlineStr">
        <is>
          <t>|---|---|---|---|---|</t>
        </is>
      </c>
    </row>
    <row r="70">
      <c r="A70" t="inlineStr"/>
    </row>
    <row r="71">
      <c r="A71" t="inlineStr">
        <is>
          <t>**Extraction Logic for Investment Income Snapshots:**</t>
        </is>
      </c>
    </row>
    <row r="72">
      <c r="A72" t="inlineStr">
        <is>
          <t>*   **Quarter**: The most recent quarter the statement covers (e.g., `Q1`, `Q2`, `Q3`, `Q4`, or `Annual`).</t>
        </is>
      </c>
    </row>
    <row r="73">
      <c r="A73" t="inlineStr">
        <is>
          <t>*   **Entity**: The name of the brokerage or issuing institution (e.g., `Schwab`, `E-Trade`, `Fidelity`).</t>
        </is>
      </c>
    </row>
    <row r="74">
      <c r="A74" t="inlineStr">
        <is>
          <t>*   **Dividends &amp; Interest**: **Year-to-Date (YTD)** total of all dividends (Qualified + Ordinary) and all taxable interest. Combine these into a single sum.</t>
        </is>
      </c>
    </row>
    <row r="75">
      <c r="A75" t="inlineStr">
        <is>
          <t>*   **Short-Term Gains**: **Year-to-Date (YTD)** net short-term capital gains realized.</t>
        </is>
      </c>
    </row>
    <row r="76">
      <c r="A76" t="inlineStr">
        <is>
          <t>*   **Long-Term Gains**: **Year-to-Date (YTD)** net long-term capital gains realized.</t>
        </is>
      </c>
    </row>
    <row r="77">
      <c r="A77" t="inlineStr"/>
    </row>
    <row r="78">
      <c r="A78" t="inlineStr"/>
    </row>
    <row r="79">
      <c r="A79" t="inlineStr"/>
    </row>
    <row r="80">
      <c r="A80" t="inlineStr"/>
    </row>
    <row r="81">
      <c r="A81" t="inlineStr">
        <is>
          <t>THESE NUMBERS ARE VERY IMPORTANT.  CHECK YOUR WORK TWICE.  DO NOT HALLUCINATE</t>
        </is>
      </c>
    </row>
    <row r="82">
      <c r="A82" t="inlineStr"/>
    </row>
    <row r="83">
      <c r="A83" t="inlineStr"/>
    </row>
    <row r="84">
      <c r="A84" t="inlineStr">
        <is>
          <t>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2026-04-08T18:33:54Z</dcterms:created>
  <dcterms:modified xsi:type="dcterms:W3CDTF">2026-04-08T18:33:54Z</dcterms:modified>
</cp:coreProperties>
</file>